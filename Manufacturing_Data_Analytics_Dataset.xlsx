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C:\Sushant\SUSHANT\PRO\"/>
    </mc:Choice>
  </mc:AlternateContent>
  <xr:revisionPtr revIDLastSave="0" documentId="13_ncr:1_{248E9CC9-9DDA-4C8E-BE8D-252D2088E84E}" xr6:coauthVersionLast="36" xr6:coauthVersionMax="36" xr10:uidLastSave="{00000000-0000-0000-0000-000000000000}"/>
  <bookViews>
    <workbookView xWindow="0" yWindow="0" windowWidth="20400" windowHeight="7545" tabRatio="656" firstSheet="1" activeTab="5" xr2:uid="{00000000-000D-0000-FFFF-FFFF00000000}"/>
  </bookViews>
  <sheets>
    <sheet name="Production_Data" sheetId="1" r:id="rId1"/>
    <sheet name="Table 1" sheetId="2" r:id="rId2"/>
    <sheet name="Table 2" sheetId="5" r:id="rId3"/>
    <sheet name="Table 3" sheetId="7" r:id="rId4"/>
    <sheet name="Table 4" sheetId="9" r:id="rId5"/>
    <sheet name="Dashboard" sheetId="12" r:id="rId6"/>
  </sheets>
  <definedNames>
    <definedName name="_xlcn.WorksheetConnection_Production_DataAL1" hidden="1">Production_Data!$A:$L</definedName>
  </definedNames>
  <calcPr calcId="191029"/>
  <customWorkbookViews>
    <customWorkbookView name="Frame" guid="{EE78B246-E2B2-4D67-A5BD-B7297C731AB7}" maximized="1" xWindow="-8" yWindow="-8" windowWidth="1376" windowHeight="744" tabRatio="656" activeSheetId="12" showFormulaBar="0"/>
  </customWorkbookViews>
  <pivotCaches>
    <pivotCache cacheId="0" r:id="rId7"/>
    <pivotCache cacheId="1" r:id="rId8"/>
    <pivotCache cacheId="2" r:id="rId9"/>
    <pivotCache cacheId="3" r:id="rId10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Production_Data!$A:$L"/>
        </x15:modelTables>
      </x15:dataModel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" i="1"/>
  <c r="J26" i="1"/>
  <c r="J27" i="1"/>
  <c r="J28" i="1"/>
  <c r="K28" i="1" s="1"/>
  <c r="J29" i="1"/>
  <c r="J30" i="1"/>
  <c r="J31" i="1"/>
  <c r="J32" i="1"/>
  <c r="J33" i="1"/>
  <c r="J34" i="1"/>
  <c r="J35" i="1"/>
  <c r="J36" i="1"/>
  <c r="K36" i="1" s="1"/>
  <c r="J37" i="1"/>
  <c r="J38" i="1"/>
  <c r="J39" i="1"/>
  <c r="J40" i="1"/>
  <c r="J41" i="1"/>
  <c r="K41" i="1"/>
  <c r="J42" i="1"/>
  <c r="J43" i="1"/>
  <c r="J44" i="1"/>
  <c r="K44" i="1" s="1"/>
  <c r="J45" i="1"/>
  <c r="J46" i="1"/>
  <c r="J47" i="1"/>
  <c r="J48" i="1"/>
  <c r="J49" i="1"/>
  <c r="J50" i="1"/>
  <c r="J51" i="1"/>
  <c r="J52" i="1"/>
  <c r="K52" i="1" s="1"/>
  <c r="J53" i="1"/>
  <c r="J54" i="1"/>
  <c r="J55" i="1"/>
  <c r="J56" i="1"/>
  <c r="J57" i="1"/>
  <c r="K57" i="1"/>
  <c r="J58" i="1"/>
  <c r="J59" i="1"/>
  <c r="J60" i="1"/>
  <c r="K60" i="1" s="1"/>
  <c r="J61" i="1"/>
  <c r="J62" i="1"/>
  <c r="J63" i="1"/>
  <c r="J64" i="1"/>
  <c r="J65" i="1"/>
  <c r="J66" i="1"/>
  <c r="J67" i="1"/>
  <c r="J68" i="1"/>
  <c r="K68" i="1" s="1"/>
  <c r="J69" i="1"/>
  <c r="J70" i="1"/>
  <c r="J71" i="1"/>
  <c r="J72" i="1"/>
  <c r="J73" i="1"/>
  <c r="K73" i="1"/>
  <c r="J74" i="1"/>
  <c r="J75" i="1"/>
  <c r="J76" i="1"/>
  <c r="K76" i="1" s="1"/>
  <c r="J77" i="1"/>
  <c r="J78" i="1"/>
  <c r="J79" i="1"/>
  <c r="J80" i="1"/>
  <c r="J81" i="1"/>
  <c r="J82" i="1"/>
  <c r="J83" i="1"/>
  <c r="J84" i="1"/>
  <c r="K84" i="1" s="1"/>
  <c r="J85" i="1"/>
  <c r="J86" i="1"/>
  <c r="J87" i="1"/>
  <c r="J88" i="1"/>
  <c r="J89" i="1"/>
  <c r="K89" i="1"/>
  <c r="J90" i="1"/>
  <c r="J91" i="1"/>
  <c r="J92" i="1"/>
  <c r="K92" i="1" s="1"/>
  <c r="J93" i="1"/>
  <c r="J94" i="1"/>
  <c r="J95" i="1"/>
  <c r="J96" i="1"/>
  <c r="J97" i="1"/>
  <c r="J98" i="1"/>
  <c r="J99" i="1"/>
  <c r="J100" i="1"/>
  <c r="K100" i="1" s="1"/>
  <c r="J101" i="1"/>
  <c r="J102" i="1"/>
  <c r="J103" i="1"/>
  <c r="J104" i="1"/>
  <c r="J105" i="1"/>
  <c r="K105" i="1"/>
  <c r="J106" i="1"/>
  <c r="J107" i="1"/>
  <c r="J108" i="1"/>
  <c r="K108" i="1" s="1"/>
  <c r="J109" i="1"/>
  <c r="J110" i="1"/>
  <c r="J111" i="1"/>
  <c r="J112" i="1"/>
  <c r="J113" i="1"/>
  <c r="J114" i="1"/>
  <c r="J115" i="1"/>
  <c r="J116" i="1"/>
  <c r="K116" i="1" s="1"/>
  <c r="J117" i="1"/>
  <c r="J118" i="1"/>
  <c r="J119" i="1"/>
  <c r="J120" i="1"/>
  <c r="J121" i="1"/>
  <c r="K121" i="1"/>
  <c r="J122" i="1"/>
  <c r="J123" i="1"/>
  <c r="J124" i="1"/>
  <c r="K124" i="1" s="1"/>
  <c r="J125" i="1"/>
  <c r="J126" i="1"/>
  <c r="J127" i="1"/>
  <c r="J128" i="1"/>
  <c r="J129" i="1"/>
  <c r="J130" i="1"/>
  <c r="J131" i="1"/>
  <c r="J132" i="1"/>
  <c r="K132" i="1" s="1"/>
  <c r="J133" i="1"/>
  <c r="J134" i="1"/>
  <c r="J135" i="1"/>
  <c r="J136" i="1"/>
  <c r="J137" i="1"/>
  <c r="K137" i="1"/>
  <c r="J138" i="1"/>
  <c r="J139" i="1"/>
  <c r="J140" i="1"/>
  <c r="K140" i="1" s="1"/>
  <c r="J141" i="1"/>
  <c r="J142" i="1"/>
  <c r="J143" i="1"/>
  <c r="J144" i="1"/>
  <c r="J145" i="1"/>
  <c r="J146" i="1"/>
  <c r="J147" i="1"/>
  <c r="J148" i="1"/>
  <c r="K148" i="1" s="1"/>
  <c r="J149" i="1"/>
  <c r="J150" i="1"/>
  <c r="J151" i="1"/>
  <c r="J152" i="1"/>
  <c r="J153" i="1"/>
  <c r="J154" i="1"/>
  <c r="J155" i="1"/>
  <c r="J156" i="1"/>
  <c r="K156" i="1" s="1"/>
  <c r="J157" i="1"/>
  <c r="J158" i="1"/>
  <c r="J159" i="1"/>
  <c r="J160" i="1"/>
  <c r="J161" i="1"/>
  <c r="J162" i="1"/>
  <c r="J163" i="1"/>
  <c r="J164" i="1"/>
  <c r="K164" i="1" s="1"/>
  <c r="J165" i="1"/>
  <c r="J166" i="1"/>
  <c r="J167" i="1"/>
  <c r="J168" i="1"/>
  <c r="J169" i="1"/>
  <c r="J170" i="1"/>
  <c r="J171" i="1"/>
  <c r="J172" i="1"/>
  <c r="K172" i="1" s="1"/>
  <c r="J173" i="1"/>
  <c r="J174" i="1"/>
  <c r="J175" i="1"/>
  <c r="J176" i="1"/>
  <c r="J177" i="1"/>
  <c r="J178" i="1"/>
  <c r="J179" i="1"/>
  <c r="J180" i="1"/>
  <c r="K180" i="1" s="1"/>
  <c r="J181" i="1"/>
  <c r="J182" i="1"/>
  <c r="J183" i="1"/>
  <c r="J184" i="1"/>
  <c r="J185" i="1"/>
  <c r="J186" i="1"/>
  <c r="J187" i="1"/>
  <c r="J188" i="1"/>
  <c r="K188" i="1" s="1"/>
  <c r="J189" i="1"/>
  <c r="J190" i="1"/>
  <c r="J191" i="1"/>
  <c r="J192" i="1"/>
  <c r="J193" i="1"/>
  <c r="J194" i="1"/>
  <c r="J195" i="1"/>
  <c r="J196" i="1"/>
  <c r="K196" i="1" s="1"/>
  <c r="J197" i="1"/>
  <c r="J198" i="1"/>
  <c r="J199" i="1"/>
  <c r="J200" i="1"/>
  <c r="K200" i="1" s="1"/>
  <c r="J201" i="1"/>
  <c r="J202" i="1"/>
  <c r="J203" i="1"/>
  <c r="J204" i="1"/>
  <c r="K204" i="1" s="1"/>
  <c r="J205" i="1"/>
  <c r="J206" i="1"/>
  <c r="J207" i="1"/>
  <c r="J208" i="1"/>
  <c r="K208" i="1" s="1"/>
  <c r="J209" i="1"/>
  <c r="J210" i="1"/>
  <c r="J211" i="1"/>
  <c r="J212" i="1"/>
  <c r="K212" i="1" s="1"/>
  <c r="J213" i="1"/>
  <c r="J214" i="1"/>
  <c r="J215" i="1"/>
  <c r="J216" i="1"/>
  <c r="K216" i="1" s="1"/>
  <c r="J217" i="1"/>
  <c r="J218" i="1"/>
  <c r="J219" i="1"/>
  <c r="J220" i="1"/>
  <c r="K220" i="1" s="1"/>
  <c r="J221" i="1"/>
  <c r="J222" i="1"/>
  <c r="J223" i="1"/>
  <c r="J224" i="1"/>
  <c r="K224" i="1" s="1"/>
  <c r="J225" i="1"/>
  <c r="J226" i="1"/>
  <c r="J227" i="1"/>
  <c r="J228" i="1"/>
  <c r="K228" i="1" s="1"/>
  <c r="J229" i="1"/>
  <c r="J230" i="1"/>
  <c r="J231" i="1"/>
  <c r="J232" i="1"/>
  <c r="K232" i="1" s="1"/>
  <c r="J233" i="1"/>
  <c r="J234" i="1"/>
  <c r="J235" i="1"/>
  <c r="J236" i="1"/>
  <c r="K236" i="1" s="1"/>
  <c r="J237" i="1"/>
  <c r="J238" i="1"/>
  <c r="J239" i="1"/>
  <c r="J240" i="1"/>
  <c r="K240" i="1" s="1"/>
  <c r="J241" i="1"/>
  <c r="J242" i="1"/>
  <c r="J243" i="1"/>
  <c r="J244" i="1"/>
  <c r="K244" i="1" s="1"/>
  <c r="J245" i="1"/>
  <c r="J246" i="1"/>
  <c r="J247" i="1"/>
  <c r="J248" i="1"/>
  <c r="K248" i="1" s="1"/>
  <c r="J249" i="1"/>
  <c r="J250" i="1"/>
  <c r="J251" i="1"/>
  <c r="J252" i="1"/>
  <c r="K252" i="1" s="1"/>
  <c r="J253" i="1"/>
  <c r="J254" i="1"/>
  <c r="J255" i="1"/>
  <c r="J256" i="1"/>
  <c r="K256" i="1" s="1"/>
  <c r="J257" i="1"/>
  <c r="J258" i="1"/>
  <c r="J259" i="1"/>
  <c r="J260" i="1"/>
  <c r="K260" i="1" s="1"/>
  <c r="J261" i="1"/>
  <c r="J262" i="1"/>
  <c r="J263" i="1"/>
  <c r="J264" i="1"/>
  <c r="K264" i="1" s="1"/>
  <c r="J265" i="1"/>
  <c r="J266" i="1"/>
  <c r="J267" i="1"/>
  <c r="J268" i="1"/>
  <c r="K268" i="1" s="1"/>
  <c r="J269" i="1"/>
  <c r="J270" i="1"/>
  <c r="J271" i="1"/>
  <c r="J4" i="1"/>
  <c r="J5" i="1"/>
  <c r="J6" i="1"/>
  <c r="K6" i="1"/>
  <c r="J7" i="1"/>
  <c r="J8" i="1"/>
  <c r="J9" i="1"/>
  <c r="J10" i="1"/>
  <c r="K10" i="1"/>
  <c r="J11" i="1"/>
  <c r="J12" i="1"/>
  <c r="J13" i="1"/>
  <c r="J14" i="1"/>
  <c r="K14" i="1"/>
  <c r="J15" i="1"/>
  <c r="J16" i="1"/>
  <c r="K16" i="1" s="1"/>
  <c r="J17" i="1"/>
  <c r="J18" i="1"/>
  <c r="J19" i="1"/>
  <c r="J20" i="1"/>
  <c r="K20" i="1" s="1"/>
  <c r="J21" i="1"/>
  <c r="J22" i="1"/>
  <c r="J23" i="1"/>
  <c r="J24" i="1"/>
  <c r="K24" i="1" s="1"/>
  <c r="J25" i="1"/>
  <c r="J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K27" i="1" s="1"/>
  <c r="I28" i="1"/>
  <c r="I29" i="1"/>
  <c r="I30" i="1"/>
  <c r="I31" i="1"/>
  <c r="I32" i="1"/>
  <c r="I33" i="1"/>
  <c r="I34" i="1"/>
  <c r="I35" i="1"/>
  <c r="K35" i="1" s="1"/>
  <c r="I36" i="1"/>
  <c r="I37" i="1"/>
  <c r="I38" i="1"/>
  <c r="I39" i="1"/>
  <c r="I40" i="1"/>
  <c r="I41" i="1"/>
  <c r="I42" i="1"/>
  <c r="I43" i="1"/>
  <c r="K43" i="1" s="1"/>
  <c r="I44" i="1"/>
  <c r="I45" i="1"/>
  <c r="I46" i="1"/>
  <c r="I47" i="1"/>
  <c r="I48" i="1"/>
  <c r="I49" i="1"/>
  <c r="I50" i="1"/>
  <c r="I51" i="1"/>
  <c r="K51" i="1" s="1"/>
  <c r="I52" i="1"/>
  <c r="I53" i="1"/>
  <c r="I54" i="1"/>
  <c r="I55" i="1"/>
  <c r="I56" i="1"/>
  <c r="I57" i="1"/>
  <c r="I58" i="1"/>
  <c r="I59" i="1"/>
  <c r="K59" i="1" s="1"/>
  <c r="I60" i="1"/>
  <c r="I61" i="1"/>
  <c r="I62" i="1"/>
  <c r="I63" i="1"/>
  <c r="I64" i="1"/>
  <c r="I65" i="1"/>
  <c r="I66" i="1"/>
  <c r="I67" i="1"/>
  <c r="K67" i="1" s="1"/>
  <c r="I68" i="1"/>
  <c r="I69" i="1"/>
  <c r="I70" i="1"/>
  <c r="I71" i="1"/>
  <c r="I72" i="1"/>
  <c r="I73" i="1"/>
  <c r="I74" i="1"/>
  <c r="I75" i="1"/>
  <c r="K75" i="1" s="1"/>
  <c r="I76" i="1"/>
  <c r="I77" i="1"/>
  <c r="I78" i="1"/>
  <c r="I79" i="1"/>
  <c r="I80" i="1"/>
  <c r="I81" i="1"/>
  <c r="I82" i="1"/>
  <c r="I83" i="1"/>
  <c r="K83" i="1" s="1"/>
  <c r="I84" i="1"/>
  <c r="I85" i="1"/>
  <c r="I86" i="1"/>
  <c r="I87" i="1"/>
  <c r="I88" i="1"/>
  <c r="I89" i="1"/>
  <c r="I90" i="1"/>
  <c r="I91" i="1"/>
  <c r="K91" i="1" s="1"/>
  <c r="I92" i="1"/>
  <c r="I93" i="1"/>
  <c r="I94" i="1"/>
  <c r="I95" i="1"/>
  <c r="I96" i="1"/>
  <c r="I97" i="1"/>
  <c r="I98" i="1"/>
  <c r="I99" i="1"/>
  <c r="K99" i="1" s="1"/>
  <c r="I100" i="1"/>
  <c r="I101" i="1"/>
  <c r="I102" i="1"/>
  <c r="I103" i="1"/>
  <c r="I104" i="1"/>
  <c r="I105" i="1"/>
  <c r="I106" i="1"/>
  <c r="I107" i="1"/>
  <c r="K107" i="1" s="1"/>
  <c r="I108" i="1"/>
  <c r="I109" i="1"/>
  <c r="I110" i="1"/>
  <c r="I111" i="1"/>
  <c r="I112" i="1"/>
  <c r="I113" i="1"/>
  <c r="I114" i="1"/>
  <c r="I115" i="1"/>
  <c r="K115" i="1" s="1"/>
  <c r="I116" i="1"/>
  <c r="I117" i="1"/>
  <c r="I118" i="1"/>
  <c r="I119" i="1"/>
  <c r="I120" i="1"/>
  <c r="I121" i="1"/>
  <c r="I122" i="1"/>
  <c r="I123" i="1"/>
  <c r="K123" i="1" s="1"/>
  <c r="I124" i="1"/>
  <c r="I125" i="1"/>
  <c r="I126" i="1"/>
  <c r="I127" i="1"/>
  <c r="I128" i="1"/>
  <c r="I129" i="1"/>
  <c r="I130" i="1"/>
  <c r="I131" i="1"/>
  <c r="K131" i="1" s="1"/>
  <c r="I132" i="1"/>
  <c r="I133" i="1"/>
  <c r="I134" i="1"/>
  <c r="I135" i="1"/>
  <c r="I136" i="1"/>
  <c r="I137" i="1"/>
  <c r="I138" i="1"/>
  <c r="I139" i="1"/>
  <c r="K139" i="1" s="1"/>
  <c r="I140" i="1"/>
  <c r="I141" i="1"/>
  <c r="I142" i="1"/>
  <c r="I143" i="1"/>
  <c r="I144" i="1"/>
  <c r="I145" i="1"/>
  <c r="I146" i="1"/>
  <c r="I147" i="1"/>
  <c r="K147" i="1" s="1"/>
  <c r="I148" i="1"/>
  <c r="I149" i="1"/>
  <c r="I150" i="1"/>
  <c r="I151" i="1"/>
  <c r="I152" i="1"/>
  <c r="I153" i="1"/>
  <c r="I154" i="1"/>
  <c r="I155" i="1"/>
  <c r="K155" i="1" s="1"/>
  <c r="I156" i="1"/>
  <c r="I157" i="1"/>
  <c r="I158" i="1"/>
  <c r="I159" i="1"/>
  <c r="I160" i="1"/>
  <c r="I161" i="1"/>
  <c r="I162" i="1"/>
  <c r="I163" i="1"/>
  <c r="K163" i="1" s="1"/>
  <c r="I164" i="1"/>
  <c r="I165" i="1"/>
  <c r="I166" i="1"/>
  <c r="I167" i="1"/>
  <c r="I168" i="1"/>
  <c r="I169" i="1"/>
  <c r="I170" i="1"/>
  <c r="I171" i="1"/>
  <c r="K171" i="1" s="1"/>
  <c r="I172" i="1"/>
  <c r="I173" i="1"/>
  <c r="I174" i="1"/>
  <c r="I175" i="1"/>
  <c r="I176" i="1"/>
  <c r="I177" i="1"/>
  <c r="I178" i="1"/>
  <c r="I179" i="1"/>
  <c r="K179" i="1" s="1"/>
  <c r="I180" i="1"/>
  <c r="I181" i="1"/>
  <c r="I182" i="1"/>
  <c r="I183" i="1"/>
  <c r="I184" i="1"/>
  <c r="I185" i="1"/>
  <c r="I186" i="1"/>
  <c r="I187" i="1"/>
  <c r="K187" i="1" s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H15" i="1"/>
  <c r="H16" i="1"/>
  <c r="H17" i="1"/>
  <c r="K17" i="1" s="1"/>
  <c r="H18" i="1"/>
  <c r="K18" i="1" s="1"/>
  <c r="H19" i="1"/>
  <c r="H20" i="1"/>
  <c r="H21" i="1"/>
  <c r="K21" i="1" s="1"/>
  <c r="H22" i="1"/>
  <c r="K22" i="1" s="1"/>
  <c r="H23" i="1"/>
  <c r="H24" i="1"/>
  <c r="H25" i="1"/>
  <c r="K25" i="1" s="1"/>
  <c r="H26" i="1"/>
  <c r="H27" i="1"/>
  <c r="H28" i="1"/>
  <c r="H29" i="1"/>
  <c r="K29" i="1" s="1"/>
  <c r="H30" i="1"/>
  <c r="H31" i="1"/>
  <c r="H32" i="1"/>
  <c r="H33" i="1"/>
  <c r="K33" i="1" s="1"/>
  <c r="H34" i="1"/>
  <c r="H35" i="1"/>
  <c r="H36" i="1"/>
  <c r="H37" i="1"/>
  <c r="K37" i="1" s="1"/>
  <c r="H38" i="1"/>
  <c r="H39" i="1"/>
  <c r="H40" i="1"/>
  <c r="H41" i="1"/>
  <c r="H42" i="1"/>
  <c r="H43" i="1"/>
  <c r="H44" i="1"/>
  <c r="H45" i="1"/>
  <c r="K45" i="1" s="1"/>
  <c r="H46" i="1"/>
  <c r="H47" i="1"/>
  <c r="H48" i="1"/>
  <c r="H49" i="1"/>
  <c r="K49" i="1" s="1"/>
  <c r="H50" i="1"/>
  <c r="H51" i="1"/>
  <c r="H52" i="1"/>
  <c r="H53" i="1"/>
  <c r="K53" i="1" s="1"/>
  <c r="H54" i="1"/>
  <c r="H55" i="1"/>
  <c r="H56" i="1"/>
  <c r="H57" i="1"/>
  <c r="H58" i="1"/>
  <c r="H59" i="1"/>
  <c r="H60" i="1"/>
  <c r="H61" i="1"/>
  <c r="K61" i="1" s="1"/>
  <c r="H62" i="1"/>
  <c r="H63" i="1"/>
  <c r="H64" i="1"/>
  <c r="H65" i="1"/>
  <c r="K65" i="1" s="1"/>
  <c r="H66" i="1"/>
  <c r="H67" i="1"/>
  <c r="H68" i="1"/>
  <c r="H69" i="1"/>
  <c r="K69" i="1" s="1"/>
  <c r="H70" i="1"/>
  <c r="H71" i="1"/>
  <c r="H72" i="1"/>
  <c r="H73" i="1"/>
  <c r="H74" i="1"/>
  <c r="H75" i="1"/>
  <c r="H76" i="1"/>
  <c r="H77" i="1"/>
  <c r="K77" i="1" s="1"/>
  <c r="H78" i="1"/>
  <c r="H79" i="1"/>
  <c r="H80" i="1"/>
  <c r="H81" i="1"/>
  <c r="K81" i="1" s="1"/>
  <c r="H82" i="1"/>
  <c r="H83" i="1"/>
  <c r="H84" i="1"/>
  <c r="H85" i="1"/>
  <c r="K85" i="1" s="1"/>
  <c r="H86" i="1"/>
  <c r="H87" i="1"/>
  <c r="H88" i="1"/>
  <c r="H89" i="1"/>
  <c r="H90" i="1"/>
  <c r="H91" i="1"/>
  <c r="H92" i="1"/>
  <c r="H93" i="1"/>
  <c r="K93" i="1" s="1"/>
  <c r="H94" i="1"/>
  <c r="H95" i="1"/>
  <c r="H96" i="1"/>
  <c r="H97" i="1"/>
  <c r="K97" i="1" s="1"/>
  <c r="H98" i="1"/>
  <c r="H99" i="1"/>
  <c r="H100" i="1"/>
  <c r="H101" i="1"/>
  <c r="K101" i="1" s="1"/>
  <c r="H102" i="1"/>
  <c r="H103" i="1"/>
  <c r="H104" i="1"/>
  <c r="H105" i="1"/>
  <c r="H106" i="1"/>
  <c r="H107" i="1"/>
  <c r="H108" i="1"/>
  <c r="H109" i="1"/>
  <c r="K109" i="1" s="1"/>
  <c r="H110" i="1"/>
  <c r="H111" i="1"/>
  <c r="H112" i="1"/>
  <c r="H113" i="1"/>
  <c r="K113" i="1" s="1"/>
  <c r="H114" i="1"/>
  <c r="H115" i="1"/>
  <c r="H116" i="1"/>
  <c r="H117" i="1"/>
  <c r="K117" i="1" s="1"/>
  <c r="H118" i="1"/>
  <c r="H119" i="1"/>
  <c r="H120" i="1"/>
  <c r="H121" i="1"/>
  <c r="H122" i="1"/>
  <c r="H123" i="1"/>
  <c r="H124" i="1"/>
  <c r="H125" i="1"/>
  <c r="K125" i="1" s="1"/>
  <c r="H126" i="1"/>
  <c r="H127" i="1"/>
  <c r="H128" i="1"/>
  <c r="H129" i="1"/>
  <c r="K129" i="1" s="1"/>
  <c r="H130" i="1"/>
  <c r="H131" i="1"/>
  <c r="H132" i="1"/>
  <c r="H133" i="1"/>
  <c r="K133" i="1" s="1"/>
  <c r="H134" i="1"/>
  <c r="H135" i="1"/>
  <c r="H136" i="1"/>
  <c r="H137" i="1"/>
  <c r="H138" i="1"/>
  <c r="H139" i="1"/>
  <c r="H140" i="1"/>
  <c r="H141" i="1"/>
  <c r="K141" i="1" s="1"/>
  <c r="H142" i="1"/>
  <c r="H143" i="1"/>
  <c r="H144" i="1"/>
  <c r="H145" i="1"/>
  <c r="K145" i="1" s="1"/>
  <c r="H146" i="1"/>
  <c r="H147" i="1"/>
  <c r="H148" i="1"/>
  <c r="H149" i="1"/>
  <c r="K149" i="1" s="1"/>
  <c r="H150" i="1"/>
  <c r="H151" i="1"/>
  <c r="H152" i="1"/>
  <c r="H153" i="1"/>
  <c r="K153" i="1" s="1"/>
  <c r="H154" i="1"/>
  <c r="H155" i="1"/>
  <c r="H156" i="1"/>
  <c r="H157" i="1"/>
  <c r="K157" i="1" s="1"/>
  <c r="H158" i="1"/>
  <c r="H159" i="1"/>
  <c r="H160" i="1"/>
  <c r="H161" i="1"/>
  <c r="K161" i="1" s="1"/>
  <c r="H162" i="1"/>
  <c r="H163" i="1"/>
  <c r="H164" i="1"/>
  <c r="H165" i="1"/>
  <c r="K165" i="1" s="1"/>
  <c r="H166" i="1"/>
  <c r="H167" i="1"/>
  <c r="H168" i="1"/>
  <c r="H169" i="1"/>
  <c r="K169" i="1" s="1"/>
  <c r="H170" i="1"/>
  <c r="H171" i="1"/>
  <c r="H172" i="1"/>
  <c r="H173" i="1"/>
  <c r="K173" i="1" s="1"/>
  <c r="H174" i="1"/>
  <c r="H175" i="1"/>
  <c r="H176" i="1"/>
  <c r="H177" i="1"/>
  <c r="K177" i="1" s="1"/>
  <c r="H178" i="1"/>
  <c r="H179" i="1"/>
  <c r="H180" i="1"/>
  <c r="H181" i="1"/>
  <c r="K181" i="1" s="1"/>
  <c r="H182" i="1"/>
  <c r="H183" i="1"/>
  <c r="H184" i="1"/>
  <c r="H185" i="1"/>
  <c r="K185" i="1" s="1"/>
  <c r="H186" i="1"/>
  <c r="H187" i="1"/>
  <c r="H188" i="1"/>
  <c r="H189" i="1"/>
  <c r="K189" i="1" s="1"/>
  <c r="H190" i="1"/>
  <c r="H191" i="1"/>
  <c r="H192" i="1"/>
  <c r="H193" i="1"/>
  <c r="K193" i="1" s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3" i="1"/>
  <c r="H4" i="1"/>
  <c r="K4" i="1" s="1"/>
  <c r="H5" i="1"/>
  <c r="K5" i="1" s="1"/>
  <c r="H6" i="1"/>
  <c r="H7" i="1"/>
  <c r="K7" i="1" s="1"/>
  <c r="H8" i="1"/>
  <c r="K8" i="1" s="1"/>
  <c r="H9" i="1"/>
  <c r="K9" i="1" s="1"/>
  <c r="H10" i="1"/>
  <c r="H11" i="1"/>
  <c r="K11" i="1" s="1"/>
  <c r="H12" i="1"/>
  <c r="K12" i="1" s="1"/>
  <c r="H13" i="1"/>
  <c r="K13" i="1" s="1"/>
  <c r="H14" i="1"/>
  <c r="J2" i="1"/>
  <c r="I2" i="1"/>
  <c r="H2" i="1"/>
  <c r="K2" i="1" s="1"/>
  <c r="K269" i="1" l="1"/>
  <c r="K265" i="1"/>
  <c r="K261" i="1"/>
  <c r="K257" i="1"/>
  <c r="K253" i="1"/>
  <c r="K249" i="1"/>
  <c r="K245" i="1"/>
  <c r="K241" i="1"/>
  <c r="K237" i="1"/>
  <c r="K233" i="1"/>
  <c r="K229" i="1"/>
  <c r="K225" i="1"/>
  <c r="K221" i="1"/>
  <c r="K217" i="1"/>
  <c r="K213" i="1"/>
  <c r="K209" i="1"/>
  <c r="K205" i="1"/>
  <c r="K201" i="1"/>
  <c r="K197" i="1"/>
  <c r="K190" i="1"/>
  <c r="K174" i="1"/>
  <c r="K158" i="1"/>
  <c r="K191" i="1"/>
  <c r="K183" i="1"/>
  <c r="K175" i="1"/>
  <c r="K167" i="1"/>
  <c r="K159" i="1"/>
  <c r="K151" i="1"/>
  <c r="K143" i="1"/>
  <c r="K135" i="1"/>
  <c r="K127" i="1"/>
  <c r="K119" i="1"/>
  <c r="K111" i="1"/>
  <c r="K103" i="1"/>
  <c r="K95" i="1"/>
  <c r="K87" i="1"/>
  <c r="K79" i="1"/>
  <c r="K71" i="1"/>
  <c r="K63" i="1"/>
  <c r="K55" i="1"/>
  <c r="K47" i="1"/>
  <c r="K39" i="1"/>
  <c r="K31" i="1"/>
  <c r="K23" i="1"/>
  <c r="K19" i="1"/>
  <c r="K15" i="1"/>
  <c r="K182" i="1"/>
  <c r="K166" i="1"/>
  <c r="K150" i="1"/>
  <c r="K142" i="1"/>
  <c r="K126" i="1"/>
  <c r="K118" i="1"/>
  <c r="K102" i="1"/>
  <c r="K94" i="1"/>
  <c r="K86" i="1"/>
  <c r="K78" i="1"/>
  <c r="K70" i="1"/>
  <c r="K62" i="1"/>
  <c r="K54" i="1"/>
  <c r="K271" i="1"/>
  <c r="K267" i="1"/>
  <c r="K263" i="1"/>
  <c r="K259" i="1"/>
  <c r="K255" i="1"/>
  <c r="K251" i="1"/>
  <c r="K247" i="1"/>
  <c r="K243" i="1"/>
  <c r="K239" i="1"/>
  <c r="K235" i="1"/>
  <c r="K231" i="1"/>
  <c r="K227" i="1"/>
  <c r="K223" i="1"/>
  <c r="K219" i="1"/>
  <c r="K215" i="1"/>
  <c r="K211" i="1"/>
  <c r="K207" i="1"/>
  <c r="K203" i="1"/>
  <c r="K199" i="1"/>
  <c r="K195" i="1"/>
  <c r="K192" i="1"/>
  <c r="K184" i="1"/>
  <c r="K176" i="1"/>
  <c r="K168" i="1"/>
  <c r="K160" i="1"/>
  <c r="K152" i="1"/>
  <c r="K144" i="1"/>
  <c r="K136" i="1"/>
  <c r="K128" i="1"/>
  <c r="K120" i="1"/>
  <c r="K112" i="1"/>
  <c r="K104" i="1"/>
  <c r="K96" i="1"/>
  <c r="K88" i="1"/>
  <c r="K80" i="1"/>
  <c r="K72" i="1"/>
  <c r="K64" i="1"/>
  <c r="K56" i="1"/>
  <c r="K48" i="1"/>
  <c r="K40" i="1"/>
  <c r="K32" i="1"/>
  <c r="K134" i="1"/>
  <c r="K110" i="1"/>
  <c r="K46" i="1"/>
  <c r="K38" i="1"/>
  <c r="K30" i="1"/>
  <c r="K3" i="1"/>
  <c r="K270" i="1"/>
  <c r="K266" i="1"/>
  <c r="K262" i="1"/>
  <c r="K258" i="1"/>
  <c r="K254" i="1"/>
  <c r="K250" i="1"/>
  <c r="K246" i="1"/>
  <c r="K242" i="1"/>
  <c r="K238" i="1"/>
  <c r="K234" i="1"/>
  <c r="K230" i="1"/>
  <c r="K226" i="1"/>
  <c r="K222" i="1"/>
  <c r="K218" i="1"/>
  <c r="K214" i="1"/>
  <c r="K210" i="1"/>
  <c r="K206" i="1"/>
  <c r="K202" i="1"/>
  <c r="K198" i="1"/>
  <c r="K194" i="1"/>
  <c r="K186" i="1"/>
  <c r="K178" i="1"/>
  <c r="K170" i="1"/>
  <c r="K162" i="1"/>
  <c r="K154" i="1"/>
  <c r="K146" i="1"/>
  <c r="K138" i="1"/>
  <c r="K130" i="1"/>
  <c r="K122" i="1"/>
  <c r="K114" i="1"/>
  <c r="K106" i="1"/>
  <c r="K98" i="1"/>
  <c r="K90" i="1"/>
  <c r="K82" i="1"/>
  <c r="K74" i="1"/>
  <c r="K66" i="1"/>
  <c r="K58" i="1"/>
  <c r="K50" i="1"/>
  <c r="K42" i="1"/>
  <c r="K34" i="1"/>
  <c r="K2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438E9B-86C0-455D-A3A8-F2BFFDEDE11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36E870D-560D-4566-8008-04DE18F78ADD}" name="WorksheetConnection_Production_Data!$A:$L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Production_DataAL1"/>
        </x15:connection>
      </ext>
    </extLst>
  </connection>
</connections>
</file>

<file path=xl/sharedStrings.xml><?xml version="1.0" encoding="utf-8"?>
<sst xmlns="http://schemas.openxmlformats.org/spreadsheetml/2006/main" count="882" uniqueCount="62">
  <si>
    <t>Date</t>
  </si>
  <si>
    <t>Machine</t>
  </si>
  <si>
    <t>Shift</t>
  </si>
  <si>
    <t>Planned Production</t>
  </si>
  <si>
    <t>Actual Production</t>
  </si>
  <si>
    <t>Defective Parts</t>
  </si>
  <si>
    <t>Downtime (min)</t>
  </si>
  <si>
    <t>2026-06-01</t>
  </si>
  <si>
    <t>Press-1</t>
  </si>
  <si>
    <t>A</t>
  </si>
  <si>
    <t>B</t>
  </si>
  <si>
    <t>C</t>
  </si>
  <si>
    <t>Press-2</t>
  </si>
  <si>
    <t>Press-3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</si>
  <si>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</si>
  <si>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</si>
  <si>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</si>
  <si>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</si>
  <si>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</si>
  <si>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</si>
  <si>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</si>
  <si>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</si>
  <si>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</si>
  <si>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</si>
  <si>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</si>
  <si>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</si>
  <si>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</si>
  <si>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</si>
  <si>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</si>
  <si>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</si>
  <si>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</si>
  <si>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</si>
  <si>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</si>
  <si>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</si>
  <si>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</si>
  <si>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</si>
  <si>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</si>
  <si>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</si>
  <si>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</si>
  <si>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</si>
  <si>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</si>
  <si>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</si>
  <si>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</si>
  <si>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Quality Rate</t>
  </si>
  <si>
    <t>Availability</t>
  </si>
  <si>
    <t>Performance</t>
  </si>
  <si>
    <t>OEE</t>
  </si>
  <si>
    <t>Row Labels</t>
  </si>
  <si>
    <t>Grand Total</t>
  </si>
  <si>
    <t>Sum of Downtime (min)</t>
  </si>
  <si>
    <t>Scrap Rate</t>
  </si>
  <si>
    <t>Average of Scrap Rate</t>
  </si>
  <si>
    <t>Sum of Actual Production</t>
  </si>
  <si>
    <t>Manufacturing Performance Dashboard</t>
  </si>
  <si>
    <t>Average of OEE</t>
  </si>
  <si>
    <t>Average OEE by Machies</t>
  </si>
  <si>
    <t>OEE Monitoring</t>
  </si>
  <si>
    <t>Production Analysis | OEE Monitoring | Downtime Analysis</t>
  </si>
  <si>
    <t>Shift Quality</t>
  </si>
  <si>
    <t>Shift Quality Analysis</t>
  </si>
  <si>
    <t>Production Trend</t>
  </si>
  <si>
    <t>Downtime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</si>
</sst>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8" x14ac:knownFonts="1">
    <font>
      <sz val="11"/>
      <color theme="1"/>
      <name val="Gill Sans MT"/>
      <family val="2"/>
      <scheme val="minor"/>
    </font>
    <font>
      <sz val="11"/>
      <color theme="1"/>
      <name val="Gill Sans MT"/>
      <family val="2"/>
      <scheme val="minor"/>
    </font>
    <font>
      <b/>
      <sz val="11"/>
      <color theme="1"/>
      <name val="Gill Sans MT"/>
      <family val="2"/>
      <scheme val="minor"/>
    </font>
    <font>
      <b/>
      <sz val="18"/>
      <color theme="1"/>
      <name val="Gill Sans MT"/>
      <family val="2"/>
      <scheme val="minor"/>
    </font>
    <font>
      <sz val="18"/>
      <color theme="1"/>
      <name val="Gill Sans MT"/>
      <family val="2"/>
      <scheme val="minor"/>
    </font>
    <font>
      <b/>
      <sz val="16"/>
      <color theme="1"/>
      <name val="Gill Sans MT"/>
      <family val="2"/>
      <scheme val="minor"/>
    </font>
    <font>
      <b/>
      <sz val="26"/>
      <color theme="1"/>
      <name val="Gill Sans MT"/>
      <family val="2"/>
      <scheme val="minor"/>
    </font>
    <font>
      <sz val="26"/>
      <color theme="1"/>
      <name val="Gill Sans MT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pivotButton="1" applyAlignment="1">
      <alignment horizontal="center"/>
    </xf>
    <xf numFmtId="0" fontId="0" fillId="0" borderId="0" xfId="0" applyNumberFormat="1" applyAlignment="1">
      <alignment horizontal="center"/>
    </xf>
    <xf numFmtId="9" fontId="2" fillId="2" borderId="1" xfId="1" applyFont="1" applyFill="1" applyBorder="1" applyAlignment="1">
      <alignment horizontal="center" vertical="center" wrapText="1"/>
    </xf>
    <xf numFmtId="9" fontId="0" fillId="0" borderId="1" xfId="1" applyFont="1" applyBorder="1" applyAlignment="1">
      <alignment horizontal="center"/>
    </xf>
    <xf numFmtId="9" fontId="0" fillId="0" borderId="0" xfId="1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2">
    <cellStyle name="Normal" xfId="0" builtinId="0"/>
    <cellStyle name="Percent" xfId="1" builtinId="5"/>
  </cellStyles>
  <dxfs count="28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.0000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0.0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[Manufacturing_Data_Analytics_Dataset.xlsx]Table 3!PivotTable6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ysClr val="windowText" lastClr="000000"/>
                </a:solidFill>
              </a:rPr>
              <a:t>Daily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'Table 3'!$B$3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'Table 3'!$A$4:$A$34</c:f>
              <c:strCache>
                <c:ptCount val="30"/>
                <c:pt idx="0">
                  <c:v>2026-06-01</c:v>
                </c:pt>
                <c:pt idx="1">
                  <c:v>2026-06-02</c:v>
                </c:pt>
                <c:pt idx="2">
                  <c:v>2026-06-03</c:v>
                </c:pt>
                <c:pt idx="3">
                  <c:v>2026-06-04</c:v>
                </c:pt>
                <c:pt idx="4">
                  <c:v>2026-06-05</c:v>
                </c:pt>
                <c:pt idx="5">
                  <c:v>2026-06-06</c:v>
                </c:pt>
                <c:pt idx="6">
                  <c:v>2026-06-07</c:v>
                </c:pt>
                <c:pt idx="7">
                  <c:v>2026-06-08</c:v>
                </c:pt>
                <c:pt idx="8">
                  <c:v>2026-06-09</c:v>
                </c:pt>
                <c:pt idx="9">
                  <c:v>2026-06-10</c:v>
                </c:pt>
                <c:pt idx="10">
                  <c:v>2026-06-11</c:v>
                </c:pt>
                <c:pt idx="11">
                  <c:v>2026-06-12</c:v>
                </c:pt>
                <c:pt idx="12">
                  <c:v>2026-06-13</c:v>
                </c:pt>
                <c:pt idx="13">
                  <c:v>2026-06-14</c:v>
                </c:pt>
                <c:pt idx="14">
                  <c:v>2026-06-15</c:v>
                </c:pt>
                <c:pt idx="15">
                  <c:v>2026-06-16</c:v>
                </c:pt>
                <c:pt idx="16">
                  <c:v>2026-06-17</c:v>
                </c:pt>
                <c:pt idx="17">
                  <c:v>2026-06-18</c:v>
                </c:pt>
                <c:pt idx="18">
                  <c:v>2026-06-19</c:v>
                </c:pt>
                <c:pt idx="19">
                  <c:v>2026-06-20</c:v>
                </c:pt>
                <c:pt idx="20">
                  <c:v>2026-06-21</c:v>
                </c:pt>
                <c:pt idx="21">
                  <c:v>2026-06-22</c:v>
                </c:pt>
                <c:pt idx="22">
                  <c:v>2026-06-23</c:v>
                </c:pt>
                <c:pt idx="23">
                  <c:v>2026-06-24</c:v>
                </c:pt>
                <c:pt idx="24">
                  <c:v>2026-06-25</c:v>
                </c:pt>
                <c:pt idx="25">
                  <c:v>2026-06-26</c:v>
                </c:pt>
                <c:pt idx="26">
                  <c:v>2026-06-27</c:v>
                </c:pt>
                <c:pt idx="27">
                  <c:v>2026-06-28</c:v>
                </c:pt>
                <c:pt idx="28">
                  <c:v>2026-06-29</c:v>
                </c:pt>
                <c:pt idx="29">
                  <c:v>2026-06-30</c:v>
                </c:pt>
              </c:strCache>
            </c:strRef>
          </c:cat>
          <c:val>
            <c:numRef>
              <c:f>'Table 3'!$B$4:$B$34</c:f>
              <c:numCache>
                <c:formatCode>General</c:formatCode>
                <c:ptCount val="30"/>
                <c:pt idx="0">
                  <c:v>8306</c:v>
                </c:pt>
                <c:pt idx="1">
                  <c:v>8417</c:v>
                </c:pt>
                <c:pt idx="2">
                  <c:v>8630</c:v>
                </c:pt>
                <c:pt idx="3">
                  <c:v>8532</c:v>
                </c:pt>
                <c:pt idx="4">
                  <c:v>8424</c:v>
                </c:pt>
                <c:pt idx="5">
                  <c:v>8216</c:v>
                </c:pt>
                <c:pt idx="6">
                  <c:v>8646</c:v>
                </c:pt>
                <c:pt idx="7">
                  <c:v>8503</c:v>
                </c:pt>
                <c:pt idx="8">
                  <c:v>8871</c:v>
                </c:pt>
                <c:pt idx="9">
                  <c:v>8057</c:v>
                </c:pt>
                <c:pt idx="10">
                  <c:v>8373</c:v>
                </c:pt>
                <c:pt idx="11">
                  <c:v>8567</c:v>
                </c:pt>
                <c:pt idx="12">
                  <c:v>8719</c:v>
                </c:pt>
                <c:pt idx="13">
                  <c:v>8761</c:v>
                </c:pt>
                <c:pt idx="14">
                  <c:v>8201</c:v>
                </c:pt>
                <c:pt idx="15">
                  <c:v>8122</c:v>
                </c:pt>
                <c:pt idx="16">
                  <c:v>8531</c:v>
                </c:pt>
                <c:pt idx="17">
                  <c:v>8214</c:v>
                </c:pt>
                <c:pt idx="18">
                  <c:v>8111</c:v>
                </c:pt>
                <c:pt idx="19">
                  <c:v>8695</c:v>
                </c:pt>
                <c:pt idx="20">
                  <c:v>8054</c:v>
                </c:pt>
                <c:pt idx="21">
                  <c:v>8563</c:v>
                </c:pt>
                <c:pt idx="22">
                  <c:v>8632</c:v>
                </c:pt>
                <c:pt idx="23">
                  <c:v>8716</c:v>
                </c:pt>
                <c:pt idx="24">
                  <c:v>8542</c:v>
                </c:pt>
                <c:pt idx="25">
                  <c:v>8267</c:v>
                </c:pt>
                <c:pt idx="26">
                  <c:v>8476</c:v>
                </c:pt>
                <c:pt idx="27">
                  <c:v>8147</c:v>
                </c:pt>
                <c:pt idx="28">
                  <c:v>8234</c:v>
                </c:pt>
                <c:pt idx="29">
                  <c:v>7825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E8-4A1E-8793-32905D0E50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7210400"/>
        <c:axId val="966472480"/>
      </c:lineChart>
      <c:catAx>
        <c:axId val="967210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472480"/>
        <c:crosses val="autoZero"/>
        <c:auto val="1"/>
        <c:lblAlgn val="ctr"/>
        <c:lblOffset val="100"/>
        <c:noMultiLvlLbl val="0"/>
      </c:catAx>
      <c:valAx>
        <c:axId val="96647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210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17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[Manufacturing_Data_Analytics_Dataset.xlsx]Table 4!PivotTable6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ysClr val="windowText" lastClr="000000"/>
                </a:solidFill>
              </a:rPr>
              <a:t>Downtime</a:t>
            </a:r>
            <a:r>
              <a:rPr lang="en-IN" baseline="0">
                <a:solidFill>
                  <a:sysClr val="windowText" lastClr="000000"/>
                </a:solidFill>
              </a:rPr>
              <a:t> by Machines</a:t>
            </a:r>
            <a:endParaRPr lang="en-IN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'Table 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'Table 4'!$A$4:$A$7</c:f>
              <c:strCache>
                <c:ptCount val="3"/>
                <c:pt idx="0">
                  <c:v>Press-1</c:v>
                </c:pt>
                <c:pt idx="1">
                  <c:v>Press-2</c:v>
                </c:pt>
                <c:pt idx="2">
                  <c:v>Press-3</c:v>
                </c:pt>
              </c:strCache>
            </c:strRef>
          </c:cat>
          <c:val>
            <c:numRef>
              <c:f>'Table 4'!$B$4:$B$7</c:f>
              <c:numCache>
                <c:formatCode>General</c:formatCode>
                <c:ptCount val="3"/>
                <c:pt idx="0">
                  <c:v>2686</c:v>
                </c:pt>
                <c:pt idx="1">
                  <c:v>2844</c:v>
                </c:pt>
                <c:pt idx="2">
                  <c:v>2573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27-4565-839D-B286A95AF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3263808"/>
        <c:axId val="362590096"/>
      </c:barChart>
      <c:catAx>
        <c:axId val="1003263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590096"/>
        <c:crosses val="autoZero"/>
        <c:auto val="1"/>
        <c:lblAlgn val="ctr"/>
        <c:lblOffset val="100"/>
        <c:noMultiLvlLbl val="0"/>
      </c:catAx>
      <c:valAx>
        <c:axId val="362590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26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17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[Manufacturing_Data_Analytics_Dataset.xlsx]Table 2!PivotTable4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>
                <a:solidFill>
                  <a:sysClr val="windowText" lastClr="000000"/>
                </a:solidFill>
              </a:rPr>
              <a:t>Scrap Rate by Shift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'Table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'Table 2'!$A$4:$A$7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'Table 2'!$B$4:$B$7</c:f>
              <c:numCache>
                <c:formatCode>0.0000</c:formatCode>
                <c:ptCount val="3"/>
                <c:pt idx="0">
                  <c:v>2.8446379747090585E-2</c:v>
                </c:pt>
                <c:pt idx="1">
                  <c:v>2.8491905211134476E-2</c:v>
                </c:pt>
                <c:pt idx="2">
                  <c:v>2.6315974835559846E-2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8E-4D08-89AE-8D1C92C210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1467888"/>
        <c:axId val="362592592"/>
      </c:barChart>
      <c:catAx>
        <c:axId val="35146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592592"/>
        <c:crosses val="autoZero"/>
        <c:auto val="1"/>
        <c:lblAlgn val="ctr"/>
        <c:lblOffset val="100"/>
        <c:noMultiLvlLbl val="0"/>
      </c:catAx>
      <c:valAx>
        <c:axId val="36259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467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17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[Manufacturing_Data_Analytics_Dataset.xlsx]Table 1!PivotTable1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ysClr val="windowText" lastClr="000000"/>
                </a:solidFill>
              </a:rPr>
              <a:t>OEE by Machines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'Table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'Table 1'!$A$4:$A$7</c:f>
              <c:strCache>
                <c:ptCount val="3"/>
                <c:pt idx="0">
                  <c:v>Press-1</c:v>
                </c:pt>
                <c:pt idx="1">
                  <c:v>Press-2</c:v>
                </c:pt>
                <c:pt idx="2">
                  <c:v>Press-3</c:v>
                </c:pt>
              </c:strCache>
            </c:strRef>
          </c:cat>
          <c:val>
            <c:numRef>
              <c:f>'Table 1'!$B$4:$B$7</c:f>
              <c:numCache>
                <c:formatCode>0.000</c:formatCode>
                <c:ptCount val="3"/>
                <c:pt idx="0">
                  <c:v>85.40435212856778</c:v>
                </c:pt>
                <c:pt idx="1">
                  <c:v>84.917660837348706</c:v>
                </c:pt>
                <c:pt idx="2">
                  <c:v>85.803744573977013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50-4793-AB0C-822C45C4F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1461488"/>
        <c:axId val="351601504"/>
      </c:barChart>
      <c:catAx>
        <c:axId val="351461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601504"/>
        <c:crosses val="autoZero"/>
        <c:auto val="1"/>
        <c:lblAlgn val="ctr"/>
        <c:lblOffset val="100"/>
        <c:noMultiLvlLbl val="0"/>
      </c:catAx>
      <c:valAx>
        <c:axId val="35160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461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17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18931</xdr:colOff>
      <xdr:row>25</xdr:row>
      <xdr:rowOff>46738</xdr:rowOff>
    </xdr:from>
    <xdr:to>
      <xdr:col>8</xdr:col>
      <xdr:colOff>624074</xdr:colOff>
      <xdr:row>39</xdr:row>
      <xdr:rowOff>202738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7D8C600-A126-470A-8CB4-1F6EE93BB4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40231</xdr:colOff>
      <xdr:row>25</xdr:row>
      <xdr:rowOff>34906</xdr:rowOff>
    </xdr:from>
    <xdr:to>
      <xdr:col>17</xdr:col>
      <xdr:colOff>652472</xdr:colOff>
      <xdr:row>39</xdr:row>
      <xdr:rowOff>188540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16A3F9CD-FCCC-483F-AC5A-ACDF49FCB0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68035</xdr:colOff>
      <xdr:row>8</xdr:row>
      <xdr:rowOff>58615</xdr:rowOff>
    </xdr:from>
    <xdr:to>
      <xdr:col>18</xdr:col>
      <xdr:colOff>0</xdr:colOff>
      <xdr:row>23</xdr:row>
      <xdr:rowOff>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E36A85F8-F57B-4478-B21E-569D88827B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57978</xdr:colOff>
      <xdr:row>8</xdr:row>
      <xdr:rowOff>55581</xdr:rowOff>
    </xdr:from>
    <xdr:to>
      <xdr:col>8</xdr:col>
      <xdr:colOff>663121</xdr:colOff>
      <xdr:row>22</xdr:row>
      <xdr:rowOff>211581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529CD2C-C5F2-48D5-8698-38A88D2268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81.612312962963" createdVersion="6" refreshedVersion="6" minRefreshableVersion="3" recordCount="271" xr:uid="{8AD2149D-3A9C-437B-BF12-0CD342B88766}">
  <cacheSource type="worksheet">
    <worksheetSource ref="A1:L1048576" sheet="Production_Data"/>
  </cacheSource>
  <cacheFields count="12">
    <cacheField name="Date" numFmtId="0">
      <sharedItems containsBlank="1"/>
    </cacheField>
    <cacheField name="Machine" numFmtId="0">
      <sharedItems containsBlank="1" count="4">
        <s v="Press-1"/>
        <s v="Press-2"/>
        <s v="Press-3"/>
        <m/>
      </sharedItems>
    </cacheField>
    <cacheField name="Shift" numFmtId="0">
      <sharedItems containsBlank="1"/>
    </cacheField>
    <cacheField name="Planned Production" numFmtId="0">
      <sharedItems containsString="0" containsBlank="1" containsNumber="1" containsInteger="1" minValue="900" maxValue="1100"/>
    </cacheField>
    <cacheField name="Actual Production" numFmtId="0">
      <sharedItems containsString="0" containsBlank="1" containsNumber="1" containsInteger="1" minValue="782" maxValue="1100"/>
    </cacheField>
    <cacheField name="Defective Parts" numFmtId="0">
      <sharedItems containsString="0" containsBlank="1" containsNumber="1" containsInteger="1" minValue="5" maxValue="50"/>
    </cacheField>
    <cacheField name="Downtime (min)" numFmtId="0">
      <sharedItems containsString="0" containsBlank="1" containsNumber="1" containsInteger="1" minValue="0" maxValue="60"/>
    </cacheField>
    <cacheField name="Quality Rate" numFmtId="0">
      <sharedItems containsString="0" containsBlank="1" containsNumber="1" minValue="0.95" maxValue="0.99529190207156304"/>
    </cacheField>
    <cacheField name="Availability" numFmtId="0">
      <sharedItems containsString="0" containsBlank="1" containsNumber="1" minValue="0.875" maxValue="1"/>
    </cacheField>
    <cacheField name="Performance" numFmtId="0">
      <sharedItems containsString="0" containsBlank="1" containsNumber="1" minValue="0.86888888888888893" maxValue="1"/>
    </cacheField>
    <cacheField name="OEE" numFmtId="0">
      <sharedItems containsString="0" containsBlank="1" containsNumber="1" minValue="73.772453703703704" maxValue="97.482142857142875"/>
    </cacheField>
    <cacheField name="Scrap Rate" numFmtId="9">
      <sharedItems containsString="0" containsBlank="1" containsNumber="1" minValue="4.7080979284369112E-3" maxValue="0.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81.614098495367" backgroundQuery="1" createdVersion="6" refreshedVersion="6" minRefreshableVersion="3" recordCount="0" supportSubquery="1" supportAdvancedDrill="1" xr:uid="{49FFC8EE-4FC9-4F7E-8E7A-F13778C4FC25}">
  <cacheSource type="external" connectionId="1"/>
  <cacheFields count="2">
    <cacheField name="[Range].[Shift].[Shift]" caption="Shift" numFmtId="0" hierarchy="2" level="1">
      <sharedItems count="3">
        <s v="A"/>
        <s v="B"/>
        <s v="C"/>
      </sharedItems>
    </cacheField>
    <cacheField name="[Measures].[Average of Scrap Rate]" caption="Average of Scrap Rate" numFmtId="0" hierarchy="17" level="32767"/>
  </cacheFields>
  <cacheHierarchies count="21">
    <cacheHierarchy uniqueName="[Range].[Date]" caption="Date" attribute="1" defaultMemberUniqueName="[Range].[Date].[All]" allUniqueName="[Range].[Date].[All]" dimensionUniqueName="[Range]" displayFolder="" count="0" memberValueDatatype="130" unbalanced="0"/>
    <cacheHierarchy uniqueName="[Range].[Machine]" caption="Machine" attribute="1" defaultMemberUniqueName="[Range].[Machine].[All]" allUniqueName="[Range].[Machine].[All]" dimensionUniqueName="[Range]" displayFolder="" count="0" memberValueDatatype="130" unbalanced="0"/>
    <cacheHierarchy uniqueName="[Range].[Shift]" caption="Shift" attribute="1" defaultMemberUniqueName="[Range].[Shift].[All]" allUniqueName="[Range].[Shift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lanned Production]" caption="Planned Production" attribute="1" defaultMemberUniqueName="[Range].[Planned Production].[All]" allUniqueName="[Range].[Planned Production].[All]" dimensionUniqueName="[Range]" displayFolder="" count="0" memberValueDatatype="20" unbalanced="0"/>
    <cacheHierarchy uniqueName="[Range].[Actual Production]" caption="Actual Production" attribute="1" defaultMemberUniqueName="[Range].[Actual Production].[All]" allUniqueName="[Range].[Actual Production].[All]" dimensionUniqueName="[Range]" displayFolder="" count="0" memberValueDatatype="20" unbalanced="0"/>
    <cacheHierarchy uniqueName="[Range].[Defective Parts]" caption="Defective Parts" attribute="1" defaultMemberUniqueName="[Range].[Defective Parts].[All]" allUniqueName="[Range].[Defective Parts].[All]" dimensionUniqueName="[Range]" displayFolder="" count="0" memberValueDatatype="20" unbalanced="0"/>
    <cacheHierarchy uniqueName="[Range].[Downtime (min)]" caption="Downtime (min)" attribute="1" defaultMemberUniqueName="[Range].[Downtime (min)].[All]" allUniqueName="[Range].[Downtime (min)].[All]" dimensionUniqueName="[Range]" displayFolder="" count="0" memberValueDatatype="20" unbalanced="0"/>
    <cacheHierarchy uniqueName="[Range].[Quality Rate]" caption="Quality Rate" attribute="1" defaultMemberUniqueName="[Range].[Quality Rate].[All]" allUniqueName="[Range].[Quality Rate].[All]" dimensionUniqueName="[Range]" displayFolder="" count="0" memberValueDatatype="5" unbalanced="0"/>
    <cacheHierarchy uniqueName="[Range].[Availability]" caption="Availability" attribute="1" defaultMemberUniqueName="[Range].[Availability].[All]" allUniqueName="[Range].[Availability].[All]" dimensionUniqueName="[Range]" displayFolder="" count="0" memberValueDatatype="5" unbalanced="0"/>
    <cacheHierarchy uniqueName="[Range].[Performance]" caption="Performance" attribute="1" defaultMemberUniqueName="[Range].[Performance].[All]" allUniqueName="[Range].[Performance].[All]" dimensionUniqueName="[Range]" displayFolder="" count="0" memberValueDatatype="5" unbalanced="0"/>
    <cacheHierarchy uniqueName="[Range].[OEE]" caption="OEE" attribute="1" defaultMemberUniqueName="[Range].[OEE].[All]" allUniqueName="[Range].[OEE].[All]" dimensionUniqueName="[Range]" displayFolder="" count="0" memberValueDatatype="5" unbalanced="0"/>
    <cacheHierarchy uniqueName="[Range].[Scrap Rate]" caption="Scrap Rate" attribute="1" defaultMemberUniqueName="[Range].[Scrap Rate].[All]" allUniqueName="[Range].[Scrap Rate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Average of OEE]" caption="Average of OEE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Downtime (min)]" caption="Sum of Downtime (min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crap Rate]" caption="Sum of Scrap Rate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Scrap Rate]" caption="Average of Scrap Rat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Scrap Rate]" caption="Count of Scrap Rate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ax of Scrap Rate]" caption="Max of Scrap Rate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ctual Production]" caption="Sum of Actual Production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81.620218981479" backgroundQuery="1" createdVersion="6" refreshedVersion="6" minRefreshableVersion="3" recordCount="0" supportSubquery="1" supportAdvancedDrill="1" xr:uid="{A90E7EAF-CDAC-42DF-B7D6-4B85A28B7E21}">
  <cacheSource type="external" connectionId="1"/>
  <cacheFields count="2">
    <cacheField name="[Range].[Date].[Date]" caption="Date" numFmtId="0" level="1">
      <sharedItems count="30">
        <s v="2026-06-01"/>
        <s v="2026-06-02"/>
        <s v="2026-06-03"/>
        <s v="2026-06-04"/>
        <s v="2026-06-05"/>
        <s v="2026-06-06"/>
        <s v="2026-06-07"/>
        <s v="2026-06-08"/>
        <s v="2026-06-09"/>
        <s v="2026-06-10"/>
        <s v="2026-06-11"/>
        <s v="2026-06-12"/>
        <s v="2026-06-13"/>
        <s v="2026-06-14"/>
        <s v="2026-06-15"/>
        <s v="2026-06-16"/>
        <s v="2026-06-17"/>
        <s v="2026-06-18"/>
        <s v="2026-06-19"/>
        <s v="2026-06-20"/>
        <s v="2026-06-21"/>
        <s v="2026-06-22"/>
        <s v="2026-06-23"/>
        <s v="2026-06-24"/>
        <s v="2026-06-25"/>
        <s v="2026-06-26"/>
        <s v="2026-06-27"/>
        <s v="2026-06-28"/>
        <s v="2026-06-29"/>
        <s v="2026-06-30"/>
      </sharedItems>
    </cacheField>
    <cacheField name="[Measures].[Sum of Actual Production]" caption="Sum of Actual Production" numFmtId="0" hierarchy="20" level="32767"/>
  </cacheFields>
  <cacheHierarchies count="21">
    <cacheHierarchy uniqueName="[Range].[Date]" caption="Date" attribute="1" defaultMemberUniqueName="[Range].[Date].[All]" allUniqueName="[Range].[Dat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Machine]" caption="Machine" attribute="1" defaultMemberUniqueName="[Range].[Machine].[All]" allUniqueName="[Range].[Machine].[All]" dimensionUniqueName="[Range]" displayFolder="" count="2" memberValueDatatype="130" unbalanced="0"/>
    <cacheHierarchy uniqueName="[Range].[Shift]" caption="Shift" attribute="1" defaultMemberUniqueName="[Range].[Shift].[All]" allUniqueName="[Range].[Shift].[All]" dimensionUniqueName="[Range]" displayFolder="" count="0" memberValueDatatype="130" unbalanced="0"/>
    <cacheHierarchy uniqueName="[Range].[Planned Production]" caption="Planned Production" attribute="1" defaultMemberUniqueName="[Range].[Planned Production].[All]" allUniqueName="[Range].[Planned Production].[All]" dimensionUniqueName="[Range]" displayFolder="" count="0" memberValueDatatype="20" unbalanced="0"/>
    <cacheHierarchy uniqueName="[Range].[Actual Production]" caption="Actual Production" attribute="1" defaultMemberUniqueName="[Range].[Actual Production].[All]" allUniqueName="[Range].[Actual Production].[All]" dimensionUniqueName="[Range]" displayFolder="" count="0" memberValueDatatype="20" unbalanced="0"/>
    <cacheHierarchy uniqueName="[Range].[Defective Parts]" caption="Defective Parts" attribute="1" defaultMemberUniqueName="[Range].[Defective Parts].[All]" allUniqueName="[Range].[Defective Parts].[All]" dimensionUniqueName="[Range]" displayFolder="" count="0" memberValueDatatype="20" unbalanced="0"/>
    <cacheHierarchy uniqueName="[Range].[Downtime (min)]" caption="Downtime (min)" attribute="1" defaultMemberUniqueName="[Range].[Downtime (min)].[All]" allUniqueName="[Range].[Downtime (min)].[All]" dimensionUniqueName="[Range]" displayFolder="" count="0" memberValueDatatype="20" unbalanced="0"/>
    <cacheHierarchy uniqueName="[Range].[Quality Rate]" caption="Quality Rate" attribute="1" defaultMemberUniqueName="[Range].[Quality Rate].[All]" allUniqueName="[Range].[Quality Rate].[All]" dimensionUniqueName="[Range]" displayFolder="" count="0" memberValueDatatype="5" unbalanced="0"/>
    <cacheHierarchy uniqueName="[Range].[Availability]" caption="Availability" attribute="1" defaultMemberUniqueName="[Range].[Availability].[All]" allUniqueName="[Range].[Availability].[All]" dimensionUniqueName="[Range]" displayFolder="" count="0" memberValueDatatype="5" unbalanced="0"/>
    <cacheHierarchy uniqueName="[Range].[Performance]" caption="Performance" attribute="1" defaultMemberUniqueName="[Range].[Performance].[All]" allUniqueName="[Range].[Performance].[All]" dimensionUniqueName="[Range]" displayFolder="" count="0" memberValueDatatype="5" unbalanced="0"/>
    <cacheHierarchy uniqueName="[Range].[OEE]" caption="OEE" attribute="1" defaultMemberUniqueName="[Range].[OEE].[All]" allUniqueName="[Range].[OEE].[All]" dimensionUniqueName="[Range]" displayFolder="" count="0" memberValueDatatype="5" unbalanced="0"/>
    <cacheHierarchy uniqueName="[Range].[Scrap Rate]" caption="Scrap Rate" attribute="1" defaultMemberUniqueName="[Range].[Scrap Rate].[All]" allUniqueName="[Range].[Scrap Rate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Average of OEE]" caption="Average of OEE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Downtime (min)]" caption="Sum of Downtime (min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crap Rate]" caption="Sum of Scrap Rate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Scrap Rate]" caption="Average of Scrap Rate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Scrap Rate]" caption="Count of Scrap Rate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ax of Scrap Rate]" caption="Max of Scrap Rate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ctual Production]" caption="Sum of Actual Production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83.43876759259" backgroundQuery="1" createdVersion="6" refreshedVersion="6" minRefreshableVersion="3" recordCount="0" supportSubquery="1" supportAdvancedDrill="1" xr:uid="{7A1AA58A-E4E1-43A1-8A9A-6FC6CAC78E52}">
  <cacheSource type="external" connectionId="1"/>
  <cacheFields count="2">
    <cacheField name="[Measures].[Sum of Downtime (min)]" caption="Sum of Downtime (min)" numFmtId="0" hierarchy="15" level="32767"/>
    <cacheField name="[Range].[Machine].[Machine]" caption="Machine" numFmtId="0" hierarchy="1" level="1">
      <sharedItems count="3">
        <s v="Press-1"/>
        <s v="Press-2"/>
        <s v="Press-3"/>
      </sharedItems>
    </cacheField>
  </cacheFields>
  <cacheHierarchies count="21">
    <cacheHierarchy uniqueName="[Range].[Date]" caption="Date" attribute="1" defaultMemberUniqueName="[Range].[Date].[All]" allUniqueName="[Range].[Date].[All]" dimensionUniqueName="[Range]" displayFolder="" count="2" memberValueDatatype="130" unbalanced="0"/>
    <cacheHierarchy uniqueName="[Range].[Machine]" caption="Machine" attribute="1" defaultMemberUniqueName="[Range].[Machine].[All]" allUniqueName="[Range].[Machine].[All]" dimensionUniqueName="[Range]" displayFolder="" count="2" memberValueDatatype="130" unbalanced="0">
      <fieldsUsage count="2">
        <fieldUsage x="-1"/>
        <fieldUsage x="1"/>
      </fieldsUsage>
    </cacheHierarchy>
    <cacheHierarchy uniqueName="[Range].[Shift]" caption="Shift" attribute="1" defaultMemberUniqueName="[Range].[Shift].[All]" allUniqueName="[Range].[Shift].[All]" dimensionUniqueName="[Range]" displayFolder="" count="0" memberValueDatatype="130" unbalanced="0"/>
    <cacheHierarchy uniqueName="[Range].[Planned Production]" caption="Planned Production" attribute="1" defaultMemberUniqueName="[Range].[Planned Production].[All]" allUniqueName="[Range].[Planned Production].[All]" dimensionUniqueName="[Range]" displayFolder="" count="0" memberValueDatatype="20" unbalanced="0"/>
    <cacheHierarchy uniqueName="[Range].[Actual Production]" caption="Actual Production" attribute="1" defaultMemberUniqueName="[Range].[Actual Production].[All]" allUniqueName="[Range].[Actual Production].[All]" dimensionUniqueName="[Range]" displayFolder="" count="0" memberValueDatatype="20" unbalanced="0"/>
    <cacheHierarchy uniqueName="[Range].[Defective Parts]" caption="Defective Parts" attribute="1" defaultMemberUniqueName="[Range].[Defective Parts].[All]" allUniqueName="[Range].[Defective Parts].[All]" dimensionUniqueName="[Range]" displayFolder="" count="0" memberValueDatatype="20" unbalanced="0"/>
    <cacheHierarchy uniqueName="[Range].[Downtime (min)]" caption="Downtime (min)" attribute="1" defaultMemberUniqueName="[Range].[Downtime (min)].[All]" allUniqueName="[Range].[Downtime (min)].[All]" dimensionUniqueName="[Range]" displayFolder="" count="0" memberValueDatatype="20" unbalanced="0"/>
    <cacheHierarchy uniqueName="[Range].[Quality Rate]" caption="Quality Rate" attribute="1" defaultMemberUniqueName="[Range].[Quality Rate].[All]" allUniqueName="[Range].[Quality Rate].[All]" dimensionUniqueName="[Range]" displayFolder="" count="0" memberValueDatatype="5" unbalanced="0"/>
    <cacheHierarchy uniqueName="[Range].[Availability]" caption="Availability" attribute="1" defaultMemberUniqueName="[Range].[Availability].[All]" allUniqueName="[Range].[Availability].[All]" dimensionUniqueName="[Range]" displayFolder="" count="0" memberValueDatatype="5" unbalanced="0"/>
    <cacheHierarchy uniqueName="[Range].[Performance]" caption="Performance" attribute="1" defaultMemberUniqueName="[Range].[Performance].[All]" allUniqueName="[Range].[Performance].[All]" dimensionUniqueName="[Range]" displayFolder="" count="0" memberValueDatatype="5" unbalanced="0"/>
    <cacheHierarchy uniqueName="[Range].[OEE]" caption="OEE" attribute="1" defaultMemberUniqueName="[Range].[OEE].[All]" allUniqueName="[Range].[OEE].[All]" dimensionUniqueName="[Range]" displayFolder="" count="0" memberValueDatatype="5" unbalanced="0"/>
    <cacheHierarchy uniqueName="[Range].[Scrap Rate]" caption="Scrap Rate" attribute="1" defaultMemberUniqueName="[Range].[Scrap Rate].[All]" allUniqueName="[Range].[Scrap Rate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Average of OEE]" caption="Average of OEE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Downtime (min)]" caption="Sum of Downtime (min)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crap Rate]" caption="Sum of Scrap Rate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Scrap Rate]" caption="Average of Scrap Rate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Scrap Rate]" caption="Count of Scrap Rate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ax of Scrap Rate]" caption="Max of Scrap Rate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ctual Production]" caption="Sum of Actual Production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s v="2026-06-01"/>
    <x v="0"/>
    <s v="A"/>
    <n v="900"/>
    <n v="824"/>
    <n v="26"/>
    <n v="14"/>
    <n v="0.96844660194174759"/>
    <n v="0.97083333333333333"/>
    <n v="0.91555555555555557"/>
    <n v="86.080555555555563"/>
    <n v="3.1553398058252427E-2"/>
  </r>
  <r>
    <s v="2026-06-01"/>
    <x v="0"/>
    <s v="B"/>
    <n v="900"/>
    <n v="883"/>
    <n v="27"/>
    <n v="25"/>
    <n v="0.9694224235560589"/>
    <n v="0.94791666666666663"/>
    <n v="0.98111111111111116"/>
    <n v="90.157407407407405"/>
    <n v="3.0577576443941108E-2"/>
  </r>
  <r>
    <s v="2026-06-01"/>
    <x v="0"/>
    <s v="C"/>
    <n v="900"/>
    <n v="834"/>
    <n v="18"/>
    <n v="29"/>
    <n v="0.97841726618705038"/>
    <n v="0.93958333333333333"/>
    <n v="0.92666666666666664"/>
    <n v="85.188888888888883"/>
    <n v="2.1582733812949641E-2"/>
  </r>
  <r>
    <s v="2026-06-01"/>
    <x v="1"/>
    <s v="A"/>
    <n v="1050"/>
    <n v="1006"/>
    <n v="37"/>
    <n v="2"/>
    <n v="0.96322067594433403"/>
    <n v="0.99583333333333335"/>
    <n v="0.95809523809523811"/>
    <n v="91.901190476190479"/>
    <n v="3.6779324055666002E-2"/>
  </r>
  <r>
    <s v="2026-06-01"/>
    <x v="1"/>
    <s v="B"/>
    <n v="1000"/>
    <n v="928"/>
    <n v="35"/>
    <n v="2"/>
    <n v="0.96228448275862066"/>
    <n v="0.99583333333333335"/>
    <n v="0.92800000000000005"/>
    <n v="88.927916666666675"/>
    <n v="3.7715517241379309E-2"/>
  </r>
  <r>
    <s v="2026-06-01"/>
    <x v="1"/>
    <s v="C"/>
    <n v="1000"/>
    <n v="972"/>
    <n v="7"/>
    <n v="28"/>
    <n v="0.99279835390946503"/>
    <n v="0.94166666666666665"/>
    <n v="0.97199999999999998"/>
    <n v="90.870833333333337"/>
    <n v="7.2016460905349796E-3"/>
  </r>
  <r>
    <s v="2026-06-01"/>
    <x v="2"/>
    <s v="A"/>
    <n v="900"/>
    <n v="784"/>
    <n v="10"/>
    <n v="7"/>
    <n v="0.98724489795918369"/>
    <n v="0.98541666666666672"/>
    <n v="0.87111111111111106"/>
    <n v="84.745833333333337"/>
    <n v="1.2755102040816327E-2"/>
  </r>
  <r>
    <s v="2026-06-01"/>
    <x v="2"/>
    <s v="B"/>
    <n v="1050"/>
    <n v="989"/>
    <n v="31"/>
    <n v="12"/>
    <n v="0.96865520728008092"/>
    <n v="0.97499999999999998"/>
    <n v="0.94190476190476191"/>
    <n v="88.957142857142856"/>
    <n v="3.1344792719919107E-2"/>
  </r>
  <r>
    <s v="2026-06-01"/>
    <x v="2"/>
    <s v="C"/>
    <n v="1100"/>
    <n v="1086"/>
    <n v="19"/>
    <n v="54"/>
    <n v="0.98250460405156537"/>
    <n v="0.88749999999999996"/>
    <n v="0.9872727272727273"/>
    <n v="86.087500000000006"/>
    <n v="1.7495395948434623E-2"/>
  </r>
  <r>
    <s v="2026-06-02"/>
    <x v="0"/>
    <s v="A"/>
    <n v="1000"/>
    <n v="980"/>
    <n v="12"/>
    <n v="48"/>
    <n v="0.98775510204081629"/>
    <n v="0.9"/>
    <n v="0.98"/>
    <n v="87.12"/>
    <n v="1.2244897959183673E-2"/>
  </r>
  <r>
    <s v="2026-06-02"/>
    <x v="0"/>
    <s v="B"/>
    <n v="900"/>
    <n v="852"/>
    <n v="18"/>
    <n v="4"/>
    <n v="0.97887323943661975"/>
    <n v="0.9916666666666667"/>
    <n v="0.94666666666666666"/>
    <n v="91.89444444444446"/>
    <n v="2.1126760563380281E-2"/>
  </r>
  <r>
    <s v="2026-06-02"/>
    <x v="0"/>
    <s v="C"/>
    <n v="1100"/>
    <n v="1041"/>
    <n v="40"/>
    <n v="15"/>
    <n v="0.96157540826128718"/>
    <n v="0.96875"/>
    <n v="0.94636363636363641"/>
    <n v="88.15625"/>
    <n v="3.8424591738712779E-2"/>
  </r>
  <r>
    <s v="2026-06-02"/>
    <x v="1"/>
    <s v="A"/>
    <n v="1050"/>
    <n v="935"/>
    <n v="36"/>
    <n v="9"/>
    <n v="0.9614973262032086"/>
    <n v="0.98124999999999996"/>
    <n v="0.89047619047619042"/>
    <n v="84.013690476190476"/>
    <n v="3.8502673796791446E-2"/>
  </r>
  <r>
    <s v="2026-06-02"/>
    <x v="1"/>
    <s v="B"/>
    <n v="900"/>
    <n v="900"/>
    <n v="45"/>
    <n v="5"/>
    <n v="0.95"/>
    <n v="0.98958333333333337"/>
    <n v="1"/>
    <n v="94.010416666666657"/>
    <n v="0.05"/>
  </r>
  <r>
    <s v="2026-06-02"/>
    <x v="1"/>
    <s v="C"/>
    <n v="950"/>
    <n v="920"/>
    <n v="22"/>
    <n v="54"/>
    <n v="0.97608695652173916"/>
    <n v="0.88749999999999996"/>
    <n v="0.96842105263157896"/>
    <n v="83.892105263157902"/>
    <n v="2.391304347826087E-2"/>
  </r>
  <r>
    <s v="2026-06-02"/>
    <x v="2"/>
    <s v="A"/>
    <n v="1050"/>
    <n v="976"/>
    <n v="46"/>
    <n v="37"/>
    <n v="0.95286885245901642"/>
    <n v="0.92291666666666672"/>
    <n v="0.92952380952380953"/>
    <n v="81.74404761904762"/>
    <n v="4.7131147540983603E-2"/>
  </r>
  <r>
    <s v="2026-06-02"/>
    <x v="2"/>
    <s v="B"/>
    <n v="900"/>
    <n v="796"/>
    <n v="8"/>
    <n v="52"/>
    <n v="0.98994974874371855"/>
    <n v="0.89166666666666672"/>
    <n v="0.88444444444444448"/>
    <n v="78.07037037037037"/>
    <n v="1.0050251256281407E-2"/>
  </r>
  <r>
    <s v="2026-06-02"/>
    <x v="2"/>
    <s v="C"/>
    <n v="1100"/>
    <n v="1017"/>
    <n v="47"/>
    <n v="51"/>
    <n v="0.95378564405113075"/>
    <n v="0.89375000000000004"/>
    <n v="0.92454545454545456"/>
    <n v="78.8125"/>
    <n v="4.6214355948869225E-2"/>
  </r>
  <r>
    <s v="2026-06-03"/>
    <x v="0"/>
    <s v="A"/>
    <n v="1000"/>
    <n v="884"/>
    <n v="27"/>
    <n v="33"/>
    <n v="0.96945701357466063"/>
    <n v="0.93125000000000002"/>
    <n v="0.88400000000000001"/>
    <n v="79.808125000000004"/>
    <n v="3.0542986425339366E-2"/>
  </r>
  <r>
    <s v="2026-06-03"/>
    <x v="0"/>
    <s v="B"/>
    <n v="1000"/>
    <n v="893"/>
    <n v="19"/>
    <n v="15"/>
    <n v="0.97872340425531912"/>
    <n v="0.96875"/>
    <n v="0.89300000000000002"/>
    <n v="84.668749999999989"/>
    <n v="2.1276595744680851E-2"/>
  </r>
  <r>
    <s v="2026-06-03"/>
    <x v="0"/>
    <s v="C"/>
    <n v="1050"/>
    <n v="967"/>
    <n v="7"/>
    <n v="55"/>
    <n v="0.99276111685625645"/>
    <n v="0.88541666666666663"/>
    <n v="0.92095238095238097"/>
    <n v="80.952380952380949"/>
    <n v="7.2388831437435368E-3"/>
  </r>
  <r>
    <s v="2026-06-03"/>
    <x v="1"/>
    <s v="A"/>
    <n v="1100"/>
    <n v="985"/>
    <n v="46"/>
    <n v="42"/>
    <n v="0.95329949238578682"/>
    <n v="0.91249999999999998"/>
    <n v="0.8954545454545455"/>
    <n v="77.894318181818193"/>
    <n v="4.6700507614213196E-2"/>
  </r>
  <r>
    <s v="2026-06-03"/>
    <x v="1"/>
    <s v="B"/>
    <n v="950"/>
    <n v="944"/>
    <n v="44"/>
    <n v="36"/>
    <n v="0.95338983050847459"/>
    <n v="0.92500000000000004"/>
    <n v="0.99368421052631584"/>
    <n v="87.631578947368425"/>
    <n v="4.6610169491525424E-2"/>
  </r>
  <r>
    <s v="2026-06-03"/>
    <x v="1"/>
    <s v="C"/>
    <n v="1050"/>
    <n v="967"/>
    <n v="27"/>
    <n v="12"/>
    <n v="0.97207859358841775"/>
    <n v="0.97499999999999998"/>
    <n v="0.92095238095238097"/>
    <n v="87.285714285714278"/>
    <n v="2.7921406411582212E-2"/>
  </r>
  <r>
    <s v="2026-06-03"/>
    <x v="2"/>
    <s v="A"/>
    <n v="1050"/>
    <n v="1025"/>
    <n v="24"/>
    <n v="3"/>
    <n v="0.97658536585365852"/>
    <n v="0.99375000000000002"/>
    <n v="0.97619047619047616"/>
    <n v="94.737499999999997"/>
    <n v="2.3414634146341463E-2"/>
  </r>
  <r>
    <s v="2026-06-03"/>
    <x v="2"/>
    <s v="B"/>
    <n v="1100"/>
    <n v="1033"/>
    <n v="10"/>
    <n v="36"/>
    <n v="0.99031945788964182"/>
    <n v="0.92500000000000004"/>
    <n v="0.93909090909090909"/>
    <n v="86.025000000000006"/>
    <n v="9.6805421103581795E-3"/>
  </r>
  <r>
    <s v="2026-06-03"/>
    <x v="2"/>
    <s v="C"/>
    <n v="950"/>
    <n v="932"/>
    <n v="7"/>
    <n v="14"/>
    <n v="0.99248927038626611"/>
    <n v="0.97083333333333333"/>
    <n v="0.9810526315789474"/>
    <n v="94.528508771929822"/>
    <n v="7.5107296137339056E-3"/>
  </r>
  <r>
    <s v="2026-06-04"/>
    <x v="0"/>
    <s v="A"/>
    <n v="900"/>
    <n v="829"/>
    <n v="16"/>
    <n v="53"/>
    <n v="0.9806996381182147"/>
    <n v="0.88958333333333328"/>
    <n v="0.9211111111111111"/>
    <n v="80.359027777777769"/>
    <n v="1.9300361881785282E-2"/>
  </r>
  <r>
    <s v="2026-06-04"/>
    <x v="0"/>
    <s v="B"/>
    <n v="1100"/>
    <n v="1040"/>
    <n v="37"/>
    <n v="13"/>
    <n v="0.96442307692307694"/>
    <n v="0.97291666666666665"/>
    <n v="0.94545454545454544"/>
    <n v="88.712310606060612"/>
    <n v="3.5576923076923075E-2"/>
  </r>
  <r>
    <s v="2026-06-04"/>
    <x v="0"/>
    <s v="C"/>
    <n v="1100"/>
    <n v="1004"/>
    <n v="28"/>
    <n v="15"/>
    <n v="0.97211155378486058"/>
    <n v="0.96875"/>
    <n v="0.91272727272727272"/>
    <n v="85.954545454545467"/>
    <n v="2.7888446215139442E-2"/>
  </r>
  <r>
    <s v="2026-06-04"/>
    <x v="1"/>
    <s v="A"/>
    <n v="950"/>
    <n v="926"/>
    <n v="38"/>
    <n v="22"/>
    <n v="0.95896328293736499"/>
    <n v="0.95416666666666672"/>
    <n v="0.97473684210526312"/>
    <n v="89.189473684210526"/>
    <n v="4.1036717062634988E-2"/>
  </r>
  <r>
    <s v="2026-06-04"/>
    <x v="1"/>
    <s v="B"/>
    <n v="950"/>
    <n v="895"/>
    <n v="33"/>
    <n v="37"/>
    <n v="0.96312849162011172"/>
    <n v="0.92291666666666672"/>
    <n v="0.94210526315789478"/>
    <n v="83.742543859649132"/>
    <n v="3.6871508379888271E-2"/>
  </r>
  <r>
    <s v="2026-06-04"/>
    <x v="1"/>
    <s v="C"/>
    <n v="1000"/>
    <n v="961"/>
    <n v="22"/>
    <n v="56"/>
    <n v="0.97710718002081165"/>
    <n v="0.8833333333333333"/>
    <n v="0.96099999999999997"/>
    <n v="82.944999999999993"/>
    <n v="2.2892819979188347E-2"/>
  </r>
  <r>
    <s v="2026-06-04"/>
    <x v="2"/>
    <s v="A"/>
    <n v="900"/>
    <n v="879"/>
    <n v="26"/>
    <n v="41"/>
    <n v="0.9704209328782708"/>
    <n v="0.9145833333333333"/>
    <n v="0.97666666666666668"/>
    <n v="86.682175925925932"/>
    <n v="2.9579067121729238E-2"/>
  </r>
  <r>
    <s v="2026-06-04"/>
    <x v="2"/>
    <s v="B"/>
    <n v="1000"/>
    <n v="952"/>
    <n v="39"/>
    <n v="11"/>
    <n v="0.95903361344537819"/>
    <n v="0.9770833333333333"/>
    <n v="0.95199999999999996"/>
    <n v="89.207708333333329"/>
    <n v="4.0966386554621849E-2"/>
  </r>
  <r>
    <s v="2026-06-04"/>
    <x v="2"/>
    <s v="C"/>
    <n v="1050"/>
    <n v="1046"/>
    <n v="13"/>
    <n v="10"/>
    <n v="0.9875717017208413"/>
    <n v="0.97916666666666663"/>
    <n v="0.99619047619047618"/>
    <n v="96.331349206349202"/>
    <n v="1.24282982791587E-2"/>
  </r>
  <r>
    <s v="2026-06-05"/>
    <x v="0"/>
    <s v="A"/>
    <n v="1050"/>
    <n v="993"/>
    <n v="40"/>
    <n v="18"/>
    <n v="0.95971802618328295"/>
    <n v="0.96250000000000002"/>
    <n v="0.94571428571428573"/>
    <n v="87.358333333333334"/>
    <n v="4.0281973816717019E-2"/>
  </r>
  <r>
    <s v="2026-06-05"/>
    <x v="0"/>
    <s v="B"/>
    <n v="1050"/>
    <n v="931"/>
    <n v="35"/>
    <n v="58"/>
    <n v="0.96240601503759393"/>
    <n v="0.87916666666666665"/>
    <n v="0.88666666666666671"/>
    <n v="75.022222222222211"/>
    <n v="3.7593984962406013E-2"/>
  </r>
  <r>
    <s v="2026-06-05"/>
    <x v="0"/>
    <s v="C"/>
    <n v="950"/>
    <n v="860"/>
    <n v="24"/>
    <n v="31"/>
    <n v="0.97209302325581393"/>
    <n v="0.93541666666666667"/>
    <n v="0.90526315789473688"/>
    <n v="82.316666666666677"/>
    <n v="2.7906976744186046E-2"/>
  </r>
  <r>
    <s v="2026-06-05"/>
    <x v="1"/>
    <s v="A"/>
    <n v="1100"/>
    <n v="981"/>
    <n v="34"/>
    <n v="55"/>
    <n v="0.96534148827726807"/>
    <n v="0.88541666666666663"/>
    <n v="0.89181818181818184"/>
    <n v="76.226325757575765"/>
    <n v="3.4658511722731905E-2"/>
  </r>
  <r>
    <s v="2026-06-05"/>
    <x v="1"/>
    <s v="B"/>
    <n v="1050"/>
    <n v="1040"/>
    <n v="16"/>
    <n v="56"/>
    <n v="0.98461538461538467"/>
    <n v="0.8833333333333333"/>
    <n v="0.99047619047619051"/>
    <n v="86.146031746031753"/>
    <n v="1.5384615384615385E-2"/>
  </r>
  <r>
    <s v="2026-06-05"/>
    <x v="1"/>
    <s v="C"/>
    <n v="1050"/>
    <n v="1040"/>
    <n v="10"/>
    <n v="3"/>
    <n v="0.99038461538461542"/>
    <n v="0.99375000000000002"/>
    <n v="0.99047619047619051"/>
    <n v="97.482142857142875"/>
    <n v="9.6153846153846159E-3"/>
  </r>
  <r>
    <s v="2026-06-05"/>
    <x v="2"/>
    <s v="A"/>
    <n v="950"/>
    <n v="869"/>
    <n v="8"/>
    <n v="30"/>
    <n v="0.9907940161104718"/>
    <n v="0.9375"/>
    <n v="0.91473684210526318"/>
    <n v="84.96710526315789"/>
    <n v="9.2059838895281933E-3"/>
  </r>
  <r>
    <s v="2026-06-05"/>
    <x v="2"/>
    <s v="B"/>
    <n v="950"/>
    <n v="846"/>
    <n v="16"/>
    <n v="2"/>
    <n v="0.98108747044917255"/>
    <n v="0.99583333333333335"/>
    <n v="0.89052631578947372"/>
    <n v="87.004385964912274"/>
    <n v="1.8912529550827423E-2"/>
  </r>
  <r>
    <s v="2026-06-05"/>
    <x v="2"/>
    <s v="C"/>
    <n v="900"/>
    <n v="864"/>
    <n v="36"/>
    <n v="38"/>
    <n v="0.95833333333333337"/>
    <n v="0.92083333333333328"/>
    <n v="0.96"/>
    <n v="84.716666666666669"/>
    <n v="4.1666666666666664E-2"/>
  </r>
  <r>
    <s v="2026-06-06"/>
    <x v="0"/>
    <s v="A"/>
    <n v="950"/>
    <n v="891"/>
    <n v="12"/>
    <n v="14"/>
    <n v="0.98653198653198648"/>
    <n v="0.97083333333333333"/>
    <n v="0.93789473684210523"/>
    <n v="89.827631578947347"/>
    <n v="1.3468013468013467E-2"/>
  </r>
  <r>
    <s v="2026-06-06"/>
    <x v="0"/>
    <s v="B"/>
    <n v="950"/>
    <n v="871"/>
    <n v="28"/>
    <n v="12"/>
    <n v="0.96785304247990811"/>
    <n v="0.97499999999999998"/>
    <n v="0.9168421052631579"/>
    <n v="86.518421052631581"/>
    <n v="3.2146957520091848E-2"/>
  </r>
  <r>
    <s v="2026-06-06"/>
    <x v="0"/>
    <s v="C"/>
    <n v="950"/>
    <n v="930"/>
    <n v="15"/>
    <n v="10"/>
    <n v="0.9838709677419355"/>
    <n v="0.97916666666666663"/>
    <n v="0.97894736842105268"/>
    <n v="94.309210526315795"/>
    <n v="1.6129032258064516E-2"/>
  </r>
  <r>
    <s v="2026-06-06"/>
    <x v="1"/>
    <s v="A"/>
    <n v="950"/>
    <n v="919"/>
    <n v="13"/>
    <n v="44"/>
    <n v="0.98585418933623503"/>
    <n v="0.90833333333333333"/>
    <n v="0.96736842105263154"/>
    <n v="86.626315789473679"/>
    <n v="1.4145810663764961E-2"/>
  </r>
  <r>
    <s v="2026-06-06"/>
    <x v="1"/>
    <s v="B"/>
    <n v="1000"/>
    <n v="965"/>
    <n v="21"/>
    <n v="14"/>
    <n v="0.97823834196891191"/>
    <n v="0.97083333333333333"/>
    <n v="0.96499999999999997"/>
    <n v="91.646666666666661"/>
    <n v="2.1761658031088083E-2"/>
  </r>
  <r>
    <s v="2026-06-06"/>
    <x v="1"/>
    <s v="C"/>
    <n v="1100"/>
    <n v="1010"/>
    <n v="48"/>
    <n v="12"/>
    <n v="0.95247524752475243"/>
    <n v="0.97499999999999998"/>
    <n v="0.91818181818181821"/>
    <n v="85.268181818181816"/>
    <n v="4.7524752475247525E-2"/>
  </r>
  <r>
    <s v="2026-06-06"/>
    <x v="2"/>
    <s v="A"/>
    <n v="900"/>
    <n v="792"/>
    <n v="11"/>
    <n v="34"/>
    <n v="0.98611111111111116"/>
    <n v="0.9291666666666667"/>
    <n v="0.88"/>
    <n v="80.63101851851853"/>
    <n v="1.3888888888888888E-2"/>
  </r>
  <r>
    <s v="2026-06-06"/>
    <x v="2"/>
    <s v="B"/>
    <n v="950"/>
    <n v="834"/>
    <n v="34"/>
    <n v="59"/>
    <n v="0.95923261390887293"/>
    <n v="0.87708333333333333"/>
    <n v="0.87789473684210528"/>
    <n v="73.859649122807028"/>
    <n v="4.0767386091127102E-2"/>
  </r>
  <r>
    <s v="2026-06-06"/>
    <x v="2"/>
    <s v="C"/>
    <n v="1100"/>
    <n v="1004"/>
    <n v="42"/>
    <n v="5"/>
    <n v="0.95816733067729087"/>
    <n v="0.98958333333333337"/>
    <n v="0.91272727272727272"/>
    <n v="86.543560606060609"/>
    <n v="4.1832669322709161E-2"/>
  </r>
  <r>
    <s v="2026-06-07"/>
    <x v="0"/>
    <s v="A"/>
    <n v="1100"/>
    <n v="988"/>
    <n v="20"/>
    <n v="56"/>
    <n v="0.97975708502024295"/>
    <n v="0.8833333333333333"/>
    <n v="0.89818181818181819"/>
    <n v="77.733333333333348"/>
    <n v="2.0242914979757085E-2"/>
  </r>
  <r>
    <s v="2026-06-07"/>
    <x v="0"/>
    <s v="B"/>
    <n v="900"/>
    <n v="818"/>
    <n v="17"/>
    <n v="25"/>
    <n v="0.97921760391198043"/>
    <n v="0.94791666666666663"/>
    <n v="0.90888888888888886"/>
    <n v="84.364583333333329"/>
    <n v="2.0782396088019559E-2"/>
  </r>
  <r>
    <s v="2026-06-07"/>
    <x v="0"/>
    <s v="C"/>
    <n v="1100"/>
    <n v="996"/>
    <n v="43"/>
    <n v="45"/>
    <n v="0.95682730923694781"/>
    <n v="0.90625"/>
    <n v="0.9054545454545454"/>
    <n v="78.514204545454533"/>
    <n v="4.3172690763052211E-2"/>
  </r>
  <r>
    <s v="2026-06-07"/>
    <x v="1"/>
    <s v="A"/>
    <n v="1000"/>
    <n v="910"/>
    <n v="24"/>
    <n v="35"/>
    <n v="0.97362637362637361"/>
    <n v="0.92708333333333337"/>
    <n v="0.91"/>
    <n v="82.139583333333334"/>
    <n v="2.6373626373626374E-2"/>
  </r>
  <r>
    <s v="2026-06-07"/>
    <x v="1"/>
    <s v="B"/>
    <n v="1100"/>
    <n v="1018"/>
    <n v="38"/>
    <n v="57"/>
    <n v="0.96267190569744598"/>
    <n v="0.88124999999999998"/>
    <n v="0.92545454545454542"/>
    <n v="78.511363636363626"/>
    <n v="3.732809430255403E-2"/>
  </r>
  <r>
    <s v="2026-06-07"/>
    <x v="1"/>
    <s v="C"/>
    <n v="1100"/>
    <n v="985"/>
    <n v="44"/>
    <n v="7"/>
    <n v="0.95532994923857872"/>
    <n v="0.98541666666666672"/>
    <n v="0.8954545454545455"/>
    <n v="84.297916666666666"/>
    <n v="4.4670050761421318E-2"/>
  </r>
  <r>
    <s v="2026-06-07"/>
    <x v="2"/>
    <s v="A"/>
    <n v="900"/>
    <n v="885"/>
    <n v="7"/>
    <n v="27"/>
    <n v="0.99209039548022604"/>
    <n v="0.94374999999999998"/>
    <n v="0.98333333333333328"/>
    <n v="92.068055555555546"/>
    <n v="7.9096045197740109E-3"/>
  </r>
  <r>
    <s v="2026-06-07"/>
    <x v="2"/>
    <s v="B"/>
    <n v="1100"/>
    <n v="1083"/>
    <n v="36"/>
    <n v="23"/>
    <n v="0.96675900277008309"/>
    <n v="0.95208333333333328"/>
    <n v="0.9845454545454545"/>
    <n v="90.621022727272717"/>
    <n v="3.3240997229916899E-2"/>
  </r>
  <r>
    <s v="2026-06-07"/>
    <x v="2"/>
    <s v="C"/>
    <n v="1000"/>
    <n v="963"/>
    <n v="11"/>
    <n v="28"/>
    <n v="0.98857736240913807"/>
    <n v="0.94166666666666665"/>
    <n v="0.96299999999999997"/>
    <n v="89.646666666666647"/>
    <n v="1.142263759086189E-2"/>
  </r>
  <r>
    <s v="2026-06-08"/>
    <x v="0"/>
    <s v="A"/>
    <n v="900"/>
    <n v="826"/>
    <n v="36"/>
    <n v="43"/>
    <n v="0.95641646489104115"/>
    <n v="0.91041666666666665"/>
    <n v="0.9177777777777778"/>
    <n v="79.914351851851848"/>
    <n v="4.3583535108958835E-2"/>
  </r>
  <r>
    <s v="2026-06-08"/>
    <x v="0"/>
    <s v="B"/>
    <n v="1100"/>
    <n v="1072"/>
    <n v="26"/>
    <n v="58"/>
    <n v="0.97574626865671643"/>
    <n v="0.87916666666666665"/>
    <n v="0.97454545454545449"/>
    <n v="83.600757575757569"/>
    <n v="2.4253731343283583E-2"/>
  </r>
  <r>
    <s v="2026-06-08"/>
    <x v="0"/>
    <s v="C"/>
    <n v="1100"/>
    <n v="1014"/>
    <n v="50"/>
    <n v="5"/>
    <n v="0.95069033530571989"/>
    <n v="0.98958333333333337"/>
    <n v="0.92181818181818187"/>
    <n v="86.723484848484858"/>
    <n v="4.9309664694280081E-2"/>
  </r>
  <r>
    <s v="2026-06-08"/>
    <x v="1"/>
    <s v="A"/>
    <n v="1000"/>
    <n v="882"/>
    <n v="43"/>
    <n v="5"/>
    <n v="0.9512471655328798"/>
    <n v="0.98958333333333337"/>
    <n v="0.88200000000000001"/>
    <n v="83.026041666666671"/>
    <n v="4.8752834467120185E-2"/>
  </r>
  <r>
    <s v="2026-06-08"/>
    <x v="1"/>
    <s v="B"/>
    <n v="1050"/>
    <n v="982"/>
    <n v="41"/>
    <n v="25"/>
    <n v="0.9582484725050916"/>
    <n v="0.94791666666666663"/>
    <n v="0.9352380952380952"/>
    <n v="84.951388888888872"/>
    <n v="4.1751527494908347E-2"/>
  </r>
  <r>
    <s v="2026-06-08"/>
    <x v="1"/>
    <s v="C"/>
    <n v="950"/>
    <n v="884"/>
    <n v="16"/>
    <n v="35"/>
    <n v="0.98190045248868774"/>
    <n v="0.92708333333333337"/>
    <n v="0.93052631578947365"/>
    <n v="84.706140350877192"/>
    <n v="1.8099547511312219E-2"/>
  </r>
  <r>
    <s v="2026-06-08"/>
    <x v="2"/>
    <s v="A"/>
    <n v="950"/>
    <n v="914"/>
    <n v="21"/>
    <n v="12"/>
    <n v="0.97702407002188185"/>
    <n v="0.97499999999999998"/>
    <n v="0.96210526315789469"/>
    <n v="91.649999999999991"/>
    <n v="2.2975929978118162E-2"/>
  </r>
  <r>
    <s v="2026-06-08"/>
    <x v="2"/>
    <s v="B"/>
    <n v="900"/>
    <n v="836"/>
    <n v="10"/>
    <n v="38"/>
    <n v="0.98803827751196172"/>
    <n v="0.92083333333333328"/>
    <n v="0.92888888888888888"/>
    <n v="84.512037037037032"/>
    <n v="1.1961722488038277E-2"/>
  </r>
  <r>
    <s v="2026-06-08"/>
    <x v="2"/>
    <s v="C"/>
    <n v="1100"/>
    <n v="1093"/>
    <n v="40"/>
    <n v="56"/>
    <n v="0.96340347666971637"/>
    <n v="0.8833333333333333"/>
    <n v="0.99363636363636365"/>
    <n v="84.559090909090912"/>
    <n v="3.6596523330283626E-2"/>
  </r>
  <r>
    <s v="2026-06-09"/>
    <x v="0"/>
    <s v="A"/>
    <n v="900"/>
    <n v="813"/>
    <n v="32"/>
    <n v="36"/>
    <n v="0.96063960639606394"/>
    <n v="0.92500000000000004"/>
    <n v="0.90333333333333332"/>
    <n v="80.269444444444431"/>
    <n v="3.9360393603936041E-2"/>
  </r>
  <r>
    <s v="2026-06-09"/>
    <x v="0"/>
    <s v="B"/>
    <n v="900"/>
    <n v="828"/>
    <n v="36"/>
    <n v="18"/>
    <n v="0.95652173913043481"/>
    <n v="0.96250000000000002"/>
    <n v="0.92"/>
    <n v="84.7"/>
    <n v="4.3478260869565216E-2"/>
  </r>
  <r>
    <s v="2026-06-09"/>
    <x v="0"/>
    <s v="C"/>
    <n v="1100"/>
    <n v="1045"/>
    <n v="45"/>
    <n v="58"/>
    <n v="0.9569377990430622"/>
    <n v="0.87916666666666665"/>
    <n v="0.95"/>
    <n v="79.924242424242408"/>
    <n v="4.3062200956937802E-2"/>
  </r>
  <r>
    <s v="2026-06-09"/>
    <x v="1"/>
    <s v="A"/>
    <n v="1000"/>
    <n v="948"/>
    <n v="40"/>
    <n v="48"/>
    <n v="0.95780590717299574"/>
    <n v="0.9"/>
    <n v="0.94799999999999995"/>
    <n v="81.72"/>
    <n v="4.2194092827004218E-2"/>
  </r>
  <r>
    <s v="2026-06-09"/>
    <x v="1"/>
    <s v="B"/>
    <n v="1100"/>
    <n v="1004"/>
    <n v="21"/>
    <n v="2"/>
    <n v="0.97908366533864544"/>
    <n v="0.99583333333333335"/>
    <n v="0.91272727272727272"/>
    <n v="88.991287878787887"/>
    <n v="2.091633466135458E-2"/>
  </r>
  <r>
    <s v="2026-06-09"/>
    <x v="1"/>
    <s v="C"/>
    <n v="1100"/>
    <n v="1099"/>
    <n v="50"/>
    <n v="8"/>
    <n v="0.95450409463148311"/>
    <n v="0.98333333333333328"/>
    <n v="0.99909090909090914"/>
    <n v="93.774242424242416"/>
    <n v="4.5495905368516831E-2"/>
  </r>
  <r>
    <s v="2026-06-09"/>
    <x v="2"/>
    <s v="A"/>
    <n v="1100"/>
    <n v="1092"/>
    <n v="48"/>
    <n v="37"/>
    <n v="0.95604395604395609"/>
    <n v="0.92291666666666672"/>
    <n v="0.99272727272727268"/>
    <n v="87.593181818181819"/>
    <n v="4.3956043956043959E-2"/>
  </r>
  <r>
    <s v="2026-06-09"/>
    <x v="2"/>
    <s v="B"/>
    <n v="1100"/>
    <n v="988"/>
    <n v="37"/>
    <n v="12"/>
    <n v="0.96255060728744934"/>
    <n v="0.97499999999999998"/>
    <n v="0.89818181818181819"/>
    <n v="84.293181818181822"/>
    <n v="3.7449392712550607E-2"/>
  </r>
  <r>
    <s v="2026-06-09"/>
    <x v="2"/>
    <s v="C"/>
    <n v="1100"/>
    <n v="1054"/>
    <n v="13"/>
    <n v="27"/>
    <n v="0.98766603415559773"/>
    <n v="0.94374999999999998"/>
    <n v="0.95818181818181813"/>
    <n v="89.313068181818181"/>
    <n v="1.2333965844402278E-2"/>
  </r>
  <r>
    <s v="2026-06-10"/>
    <x v="0"/>
    <s v="A"/>
    <n v="1050"/>
    <n v="985"/>
    <n v="25"/>
    <n v="23"/>
    <n v="0.97461928934010156"/>
    <n v="0.95208333333333328"/>
    <n v="0.93809523809523809"/>
    <n v="87.047619047619037"/>
    <n v="2.5380710659898477E-2"/>
  </r>
  <r>
    <s v="2026-06-10"/>
    <x v="0"/>
    <s v="B"/>
    <n v="900"/>
    <n v="899"/>
    <n v="7"/>
    <n v="19"/>
    <n v="0.99221357063403781"/>
    <n v="0.9604166666666667"/>
    <n v="0.99888888888888894"/>
    <n v="95.18796296296297"/>
    <n v="7.7864293659621799E-3"/>
  </r>
  <r>
    <s v="2026-06-10"/>
    <x v="0"/>
    <s v="C"/>
    <n v="1000"/>
    <n v="910"/>
    <n v="23"/>
    <n v="38"/>
    <n v="0.9747252747252747"/>
    <n v="0.92083333333333328"/>
    <n v="0.91"/>
    <n v="81.677916666666661"/>
    <n v="2.5274725274725275E-2"/>
  </r>
  <r>
    <s v="2026-06-10"/>
    <x v="1"/>
    <s v="A"/>
    <n v="900"/>
    <n v="799"/>
    <n v="33"/>
    <n v="46"/>
    <n v="0.95869837296620775"/>
    <n v="0.90416666666666667"/>
    <n v="0.88777777777777778"/>
    <n v="76.954629629629636"/>
    <n v="4.130162703379224E-2"/>
  </r>
  <r>
    <s v="2026-06-10"/>
    <x v="1"/>
    <s v="B"/>
    <n v="950"/>
    <n v="864"/>
    <n v="37"/>
    <n v="4"/>
    <n v="0.95717592592592593"/>
    <n v="0.9916666666666667"/>
    <n v="0.90947368421052632"/>
    <n v="86.32719298245614"/>
    <n v="4.2824074074074077E-2"/>
  </r>
  <r>
    <s v="2026-06-10"/>
    <x v="1"/>
    <s v="C"/>
    <n v="1000"/>
    <n v="888"/>
    <n v="26"/>
    <n v="48"/>
    <n v="0.97072072072072069"/>
    <n v="0.9"/>
    <n v="0.88800000000000001"/>
    <n v="77.58"/>
    <n v="2.9279279279279279E-2"/>
  </r>
  <r>
    <s v="2026-06-10"/>
    <x v="2"/>
    <s v="A"/>
    <n v="1050"/>
    <n v="974"/>
    <n v="27"/>
    <n v="53"/>
    <n v="0.97227926078028748"/>
    <n v="0.88958333333333328"/>
    <n v="0.92761904761904757"/>
    <n v="80.231944444444437"/>
    <n v="2.7720739219712527E-2"/>
  </r>
  <r>
    <s v="2026-06-10"/>
    <x v="2"/>
    <s v="B"/>
    <n v="900"/>
    <n v="793"/>
    <n v="36"/>
    <n v="59"/>
    <n v="0.95460277427490547"/>
    <n v="0.87708333333333333"/>
    <n v="0.88111111111111107"/>
    <n v="73.772453703703704"/>
    <n v="4.5397225725094581E-2"/>
  </r>
  <r>
    <s v="2026-06-10"/>
    <x v="2"/>
    <s v="C"/>
    <n v="1000"/>
    <n v="945"/>
    <n v="19"/>
    <n v="2"/>
    <n v="0.97989417989417993"/>
    <n v="0.99583333333333335"/>
    <n v="0.94499999999999995"/>
    <n v="92.214166666666671"/>
    <n v="2.0105820105820106E-2"/>
  </r>
  <r>
    <s v="2026-06-11"/>
    <x v="0"/>
    <s v="A"/>
    <n v="1100"/>
    <n v="1078"/>
    <n v="32"/>
    <n v="7"/>
    <n v="0.9703153988868275"/>
    <n v="0.98541666666666672"/>
    <n v="0.98"/>
    <n v="93.70416666666668"/>
    <n v="2.9684601113172542E-2"/>
  </r>
  <r>
    <s v="2026-06-11"/>
    <x v="0"/>
    <s v="B"/>
    <n v="1000"/>
    <n v="911"/>
    <n v="39"/>
    <n v="5"/>
    <n v="0.95718990120746428"/>
    <n v="0.98958333333333337"/>
    <n v="0.91100000000000003"/>
    <n v="86.291666666666671"/>
    <n v="4.2810098792535674E-2"/>
  </r>
  <r>
    <s v="2026-06-11"/>
    <x v="0"/>
    <s v="C"/>
    <n v="950"/>
    <n v="889"/>
    <n v="41"/>
    <n v="47"/>
    <n v="0.953880764904387"/>
    <n v="0.90208333333333335"/>
    <n v="0.9357894736842105"/>
    <n v="80.522807017543869"/>
    <n v="4.6119235095613047E-2"/>
  </r>
  <r>
    <s v="2026-06-11"/>
    <x v="1"/>
    <s v="A"/>
    <n v="950"/>
    <n v="833"/>
    <n v="5"/>
    <n v="22"/>
    <n v="0.99399759903961582"/>
    <n v="0.95416666666666672"/>
    <n v="0.87684210526315787"/>
    <n v="83.163157894736841"/>
    <n v="6.0024009603841539E-3"/>
  </r>
  <r>
    <s v="2026-06-11"/>
    <x v="1"/>
    <s v="B"/>
    <n v="900"/>
    <n v="797"/>
    <n v="36"/>
    <n v="36"/>
    <n v="0.95483061480552067"/>
    <n v="0.92500000000000004"/>
    <n v="0.88555555555555554"/>
    <n v="78.213888888888889"/>
    <n v="4.51693851944793E-2"/>
  </r>
  <r>
    <s v="2026-06-11"/>
    <x v="1"/>
    <s v="C"/>
    <n v="1050"/>
    <n v="986"/>
    <n v="44"/>
    <n v="24"/>
    <n v="0.95537525354969577"/>
    <n v="0.95"/>
    <n v="0.93904761904761902"/>
    <n v="85.228571428571414"/>
    <n v="4.4624746450304259E-2"/>
  </r>
  <r>
    <s v="2026-06-11"/>
    <x v="2"/>
    <s v="A"/>
    <n v="1050"/>
    <n v="1040"/>
    <n v="41"/>
    <n v="30"/>
    <n v="0.96057692307692311"/>
    <n v="0.9375"/>
    <n v="0.99047619047619051"/>
    <n v="89.196428571428584"/>
    <n v="3.9423076923076922E-2"/>
  </r>
  <r>
    <s v="2026-06-11"/>
    <x v="2"/>
    <s v="B"/>
    <n v="1100"/>
    <n v="1006"/>
    <n v="7"/>
    <n v="3"/>
    <n v="0.99304174950298207"/>
    <n v="0.99375000000000002"/>
    <n v="0.91454545454545455"/>
    <n v="90.250568181818181"/>
    <n v="6.958250497017893E-3"/>
  </r>
  <r>
    <s v="2026-06-11"/>
    <x v="2"/>
    <s v="C"/>
    <n v="950"/>
    <n v="833"/>
    <n v="20"/>
    <n v="3"/>
    <n v="0.97599039615846339"/>
    <n v="0.99375000000000002"/>
    <n v="0.87684210526315787"/>
    <n v="85.044078947368433"/>
    <n v="2.4009603841536616E-2"/>
  </r>
  <r>
    <s v="2026-06-12"/>
    <x v="0"/>
    <s v="A"/>
    <n v="1000"/>
    <n v="989"/>
    <n v="38"/>
    <n v="18"/>
    <n v="0.96157735085945395"/>
    <n v="0.96250000000000002"/>
    <n v="0.98899999999999999"/>
    <n v="91.533749999999998"/>
    <n v="3.8422649140546009E-2"/>
  </r>
  <r>
    <s v="2026-06-12"/>
    <x v="0"/>
    <s v="B"/>
    <n v="950"/>
    <n v="877"/>
    <n v="43"/>
    <n v="34"/>
    <n v="0.95096921322690997"/>
    <n v="0.9291666666666667"/>
    <n v="0.92315789473684207"/>
    <n v="81.571052631578951"/>
    <n v="4.9030786773090078E-2"/>
  </r>
  <r>
    <s v="2026-06-12"/>
    <x v="0"/>
    <s v="C"/>
    <n v="1000"/>
    <n v="998"/>
    <n v="29"/>
    <n v="10"/>
    <n v="0.9709418837675351"/>
    <n v="0.97916666666666663"/>
    <n v="0.998"/>
    <n v="94.881249999999994"/>
    <n v="2.9058116232464931E-2"/>
  </r>
  <r>
    <s v="2026-06-12"/>
    <x v="1"/>
    <s v="A"/>
    <n v="900"/>
    <n v="792"/>
    <n v="15"/>
    <n v="49"/>
    <n v="0.98106060606060608"/>
    <n v="0.8979166666666667"/>
    <n v="0.88"/>
    <n v="77.520138888888894"/>
    <n v="1.893939393939394E-2"/>
  </r>
  <r>
    <s v="2026-06-12"/>
    <x v="1"/>
    <s v="B"/>
    <n v="1100"/>
    <n v="1070"/>
    <n v="43"/>
    <n v="43"/>
    <n v="0.95981308411214949"/>
    <n v="0.91041666666666665"/>
    <n v="0.97272727272727277"/>
    <n v="84.999810606060606"/>
    <n v="4.018691588785047E-2"/>
  </r>
  <r>
    <s v="2026-06-12"/>
    <x v="1"/>
    <s v="C"/>
    <n v="1000"/>
    <n v="976"/>
    <n v="7"/>
    <n v="55"/>
    <n v="0.99282786885245899"/>
    <n v="0.88541666666666663"/>
    <n v="0.97599999999999998"/>
    <n v="85.796875"/>
    <n v="7.1721311475409838E-3"/>
  </r>
  <r>
    <s v="2026-06-12"/>
    <x v="2"/>
    <s v="A"/>
    <n v="950"/>
    <n v="889"/>
    <n v="24"/>
    <n v="24"/>
    <n v="0.97300337457817776"/>
    <n v="0.95"/>
    <n v="0.9357894736842105"/>
    <n v="86.5"/>
    <n v="2.6996625421822271E-2"/>
  </r>
  <r>
    <s v="2026-06-12"/>
    <x v="2"/>
    <s v="B"/>
    <n v="1050"/>
    <n v="1016"/>
    <n v="35"/>
    <n v="7"/>
    <n v="0.96555118110236215"/>
    <n v="0.98541666666666672"/>
    <n v="0.9676190476190476"/>
    <n v="92.066071428571433"/>
    <n v="3.4448818897637797E-2"/>
  </r>
  <r>
    <s v="2026-06-12"/>
    <x v="2"/>
    <s v="C"/>
    <n v="1050"/>
    <n v="960"/>
    <n v="34"/>
    <n v="10"/>
    <n v="0.96458333333333335"/>
    <n v="0.97916666666666663"/>
    <n v="0.91428571428571426"/>
    <n v="86.353174603174594"/>
    <n v="3.5416666666666666E-2"/>
  </r>
  <r>
    <s v="2026-06-13"/>
    <x v="0"/>
    <s v="A"/>
    <n v="900"/>
    <n v="822"/>
    <n v="21"/>
    <n v="58"/>
    <n v="0.97445255474452552"/>
    <n v="0.87916666666666665"/>
    <n v="0.91333333333333333"/>
    <n v="78.245833333333323"/>
    <n v="2.5547445255474453E-2"/>
  </r>
  <r>
    <s v="2026-06-13"/>
    <x v="0"/>
    <s v="B"/>
    <n v="1100"/>
    <n v="1094"/>
    <n v="28"/>
    <n v="49"/>
    <n v="0.97440585009140768"/>
    <n v="0.8979166666666667"/>
    <n v="0.99454545454545451"/>
    <n v="87.016287878787878"/>
    <n v="2.5594149908592323E-2"/>
  </r>
  <r>
    <s v="2026-06-13"/>
    <x v="0"/>
    <s v="C"/>
    <n v="1100"/>
    <n v="1062"/>
    <n v="5"/>
    <n v="60"/>
    <n v="0.99529190207156304"/>
    <n v="0.875"/>
    <n v="0.96545454545454545"/>
    <n v="84.079545454545439"/>
    <n v="4.7080979284369112E-3"/>
  </r>
  <r>
    <s v="2026-06-13"/>
    <x v="1"/>
    <s v="A"/>
    <n v="1050"/>
    <n v="931"/>
    <n v="43"/>
    <n v="48"/>
    <n v="0.95381310418904408"/>
    <n v="0.9"/>
    <n v="0.88666666666666671"/>
    <n v="76.114285714285728"/>
    <n v="4.6186895810955961E-2"/>
  </r>
  <r>
    <s v="2026-06-13"/>
    <x v="1"/>
    <s v="B"/>
    <n v="1000"/>
    <n v="907"/>
    <n v="19"/>
    <n v="56"/>
    <n v="0.97905181918412343"/>
    <n v="0.8833333333333333"/>
    <n v="0.90700000000000003"/>
    <n v="78.44"/>
    <n v="2.0948180815876516E-2"/>
  </r>
  <r>
    <s v="2026-06-13"/>
    <x v="1"/>
    <s v="C"/>
    <n v="1000"/>
    <n v="940"/>
    <n v="25"/>
    <n v="59"/>
    <n v="0.97340425531914898"/>
    <n v="0.87708333333333333"/>
    <n v="0.94"/>
    <n v="80.253124999999997"/>
    <n v="2.6595744680851064E-2"/>
  </r>
  <r>
    <s v="2026-06-13"/>
    <x v="2"/>
    <s v="A"/>
    <n v="1000"/>
    <n v="952"/>
    <n v="18"/>
    <n v="13"/>
    <n v="0.98109243697478987"/>
    <n v="0.97291666666666665"/>
    <n v="0.95199999999999996"/>
    <n v="90.870416666666671"/>
    <n v="1.8907563025210083E-2"/>
  </r>
  <r>
    <s v="2026-06-13"/>
    <x v="2"/>
    <s v="B"/>
    <n v="1100"/>
    <n v="1071"/>
    <n v="50"/>
    <n v="44"/>
    <n v="0.95331465919701219"/>
    <n v="0.90833333333333333"/>
    <n v="0.97363636363636363"/>
    <n v="84.309848484848487"/>
    <n v="4.6685340802987862E-2"/>
  </r>
  <r>
    <s v="2026-06-13"/>
    <x v="2"/>
    <s v="C"/>
    <n v="1050"/>
    <n v="940"/>
    <n v="38"/>
    <n v="31"/>
    <n v="0.95957446808510638"/>
    <n v="0.93541666666666667"/>
    <n v="0.89523809523809528"/>
    <n v="80.356746031746027"/>
    <n v="4.042553191489362E-2"/>
  </r>
  <r>
    <s v="2026-06-14"/>
    <x v="0"/>
    <s v="A"/>
    <n v="950"/>
    <n v="932"/>
    <n v="22"/>
    <n v="30"/>
    <n v="0.97639484978540769"/>
    <n v="0.9375"/>
    <n v="0.9810526315789474"/>
    <n v="89.80263157894737"/>
    <n v="2.3605150214592276E-2"/>
  </r>
  <r>
    <s v="2026-06-14"/>
    <x v="0"/>
    <s v="B"/>
    <n v="1000"/>
    <n v="972"/>
    <n v="44"/>
    <n v="22"/>
    <n v="0.95473251028806583"/>
    <n v="0.95416666666666672"/>
    <n v="0.97199999999999998"/>
    <n v="88.546666666666667"/>
    <n v="4.5267489711934158E-2"/>
  </r>
  <r>
    <s v="2026-06-14"/>
    <x v="0"/>
    <s v="C"/>
    <n v="1100"/>
    <n v="1014"/>
    <n v="45"/>
    <n v="8"/>
    <n v="0.95562130177514792"/>
    <n v="0.98333333333333328"/>
    <n v="0.92181818181818187"/>
    <n v="86.622727272727275"/>
    <n v="4.4378698224852069E-2"/>
  </r>
  <r>
    <s v="2026-06-14"/>
    <x v="1"/>
    <s v="A"/>
    <n v="1100"/>
    <n v="1046"/>
    <n v="30"/>
    <n v="49"/>
    <n v="0.97131931166347996"/>
    <n v="0.8979166666666667"/>
    <n v="0.95090909090909093"/>
    <n v="82.934848484848501"/>
    <n v="2.8680688336520075E-2"/>
  </r>
  <r>
    <s v="2026-06-14"/>
    <x v="1"/>
    <s v="B"/>
    <n v="1100"/>
    <n v="1100"/>
    <n v="31"/>
    <n v="50"/>
    <n v="0.9718181818181818"/>
    <n v="0.89583333333333337"/>
    <n v="1"/>
    <n v="87.058712121212125"/>
    <n v="2.8181818181818183E-2"/>
  </r>
  <r>
    <s v="2026-06-14"/>
    <x v="1"/>
    <s v="C"/>
    <n v="950"/>
    <n v="914"/>
    <n v="9"/>
    <n v="34"/>
    <n v="0.99015317286652083"/>
    <n v="0.9291666666666667"/>
    <n v="0.96210526315789469"/>
    <n v="88.515350877192972"/>
    <n v="9.8468271334792128E-3"/>
  </r>
  <r>
    <s v="2026-06-14"/>
    <x v="2"/>
    <s v="A"/>
    <n v="900"/>
    <n v="827"/>
    <n v="19"/>
    <n v="36"/>
    <n v="0.97702539298669888"/>
    <n v="0.92500000000000004"/>
    <n v="0.91888888888888887"/>
    <n v="83.044444444444437"/>
    <n v="2.2974607013301087E-2"/>
  </r>
  <r>
    <s v="2026-06-14"/>
    <x v="2"/>
    <s v="B"/>
    <n v="1050"/>
    <n v="1005"/>
    <n v="28"/>
    <n v="44"/>
    <n v="0.97213930348258704"/>
    <n v="0.90833333333333333"/>
    <n v="0.95714285714285718"/>
    <n v="84.518253968253958"/>
    <n v="2.7860696517412936E-2"/>
  </r>
  <r>
    <s v="2026-06-14"/>
    <x v="2"/>
    <s v="C"/>
    <n v="1050"/>
    <n v="951"/>
    <n v="29"/>
    <n v="1"/>
    <n v="0.96950578338590954"/>
    <n v="0.99791666666666667"/>
    <n v="0.90571428571428569"/>
    <n v="87.626587301587293"/>
    <n v="3.0494216614090432E-2"/>
  </r>
  <r>
    <s v="2026-06-15"/>
    <x v="0"/>
    <s v="A"/>
    <n v="900"/>
    <n v="813"/>
    <n v="39"/>
    <n v="7"/>
    <n v="0.95202952029520294"/>
    <n v="0.98541666666666672"/>
    <n v="0.90333333333333332"/>
    <n v="84.745833333333337"/>
    <n v="4.797047970479705E-2"/>
  </r>
  <r>
    <s v="2026-06-15"/>
    <x v="0"/>
    <s v="B"/>
    <n v="1100"/>
    <n v="985"/>
    <n v="6"/>
    <n v="3"/>
    <n v="0.99390862944162439"/>
    <n v="0.99375000000000002"/>
    <n v="0.8954545454545455"/>
    <n v="88.443750000000009"/>
    <n v="6.0913705583756344E-3"/>
  </r>
  <r>
    <s v="2026-06-15"/>
    <x v="0"/>
    <s v="C"/>
    <n v="1000"/>
    <n v="911"/>
    <n v="29"/>
    <n v="10"/>
    <n v="0.96816684961580679"/>
    <n v="0.97916666666666663"/>
    <n v="0.91100000000000003"/>
    <n v="86.362499999999997"/>
    <n v="3.1833150384193196E-2"/>
  </r>
  <r>
    <s v="2026-06-15"/>
    <x v="1"/>
    <s v="A"/>
    <n v="1000"/>
    <n v="972"/>
    <n v="15"/>
    <n v="45"/>
    <n v="0.98456790123456794"/>
    <n v="0.90625"/>
    <n v="0.97199999999999998"/>
    <n v="86.728125000000006"/>
    <n v="1.5432098765432098E-2"/>
  </r>
  <r>
    <s v="2026-06-15"/>
    <x v="1"/>
    <s v="B"/>
    <n v="950"/>
    <n v="891"/>
    <n v="39"/>
    <n v="18"/>
    <n v="0.95622895622895621"/>
    <n v="0.96250000000000002"/>
    <n v="0.93789473684210523"/>
    <n v="86.321052631578937"/>
    <n v="4.3771043771043773E-2"/>
  </r>
  <r>
    <s v="2026-06-15"/>
    <x v="1"/>
    <s v="C"/>
    <n v="950"/>
    <n v="864"/>
    <n v="14"/>
    <n v="16"/>
    <n v="0.98379629629629628"/>
    <n v="0.96666666666666667"/>
    <n v="0.90947368421052632"/>
    <n v="86.491228070175438"/>
    <n v="1.6203703703703703E-2"/>
  </r>
  <r>
    <s v="2026-06-15"/>
    <x v="2"/>
    <s v="A"/>
    <n v="1050"/>
    <n v="1035"/>
    <n v="25"/>
    <n v="16"/>
    <n v="0.97584541062801933"/>
    <n v="0.96666666666666667"/>
    <n v="0.98571428571428577"/>
    <n v="92.984126984126988"/>
    <n v="2.4154589371980676E-2"/>
  </r>
  <r>
    <s v="2026-06-15"/>
    <x v="2"/>
    <s v="B"/>
    <n v="950"/>
    <n v="895"/>
    <n v="27"/>
    <n v="11"/>
    <n v="0.96983240223463685"/>
    <n v="0.9770833333333333"/>
    <n v="0.94210526315789478"/>
    <n v="89.27456140350877"/>
    <n v="3.0167597765363128E-2"/>
  </r>
  <r>
    <s v="2026-06-15"/>
    <x v="2"/>
    <s v="C"/>
    <n v="950"/>
    <n v="835"/>
    <n v="32"/>
    <n v="9"/>
    <n v="0.96167664670658681"/>
    <n v="0.98124999999999996"/>
    <n v="0.87894736842105259"/>
    <n v="82.941447368421052"/>
    <n v="3.8323353293413173E-2"/>
  </r>
  <r>
    <s v="2026-06-16"/>
    <x v="0"/>
    <s v="A"/>
    <n v="1100"/>
    <n v="1034"/>
    <n v="21"/>
    <n v="34"/>
    <n v="0.97969052224371378"/>
    <n v="0.9291666666666667"/>
    <n v="0.94"/>
    <n v="85.567803030303025"/>
    <n v="2.0309477756286266E-2"/>
  </r>
  <r>
    <s v="2026-06-16"/>
    <x v="0"/>
    <s v="B"/>
    <n v="1050"/>
    <n v="935"/>
    <n v="10"/>
    <n v="44"/>
    <n v="0.98930481283422456"/>
    <n v="0.90833333333333333"/>
    <n v="0.89047619047619042"/>
    <n v="80.019841269841265"/>
    <n v="1.06951871657754E-2"/>
  </r>
  <r>
    <s v="2026-06-16"/>
    <x v="0"/>
    <s v="C"/>
    <n v="900"/>
    <n v="835"/>
    <n v="28"/>
    <n v="38"/>
    <n v="0.96646706586826348"/>
    <n v="0.92083333333333328"/>
    <n v="0.92777777777777781"/>
    <n v="82.56805555555556"/>
    <n v="3.3532934131736525E-2"/>
  </r>
  <r>
    <s v="2026-06-16"/>
    <x v="1"/>
    <s v="A"/>
    <n v="900"/>
    <n v="807"/>
    <n v="11"/>
    <n v="54"/>
    <n v="0.98636926889714993"/>
    <n v="0.88749999999999996"/>
    <n v="0.89666666666666661"/>
    <n v="78.49444444444444"/>
    <n v="1.3630731102850062E-2"/>
  </r>
  <r>
    <s v="2026-06-16"/>
    <x v="1"/>
    <s v="B"/>
    <n v="900"/>
    <n v="890"/>
    <n v="26"/>
    <n v="14"/>
    <n v="0.97078651685393258"/>
    <n v="0.97083333333333333"/>
    <n v="0.98888888888888893"/>
    <n v="93.2"/>
    <n v="2.9213483146067417E-2"/>
  </r>
  <r>
    <s v="2026-06-16"/>
    <x v="1"/>
    <s v="C"/>
    <n v="950"/>
    <n v="916"/>
    <n v="18"/>
    <n v="30"/>
    <n v="0.98034934497816595"/>
    <n v="0.9375"/>
    <n v="0.96421052631578952"/>
    <n v="88.618421052631589"/>
    <n v="1.9650655021834062E-2"/>
  </r>
  <r>
    <s v="2026-06-16"/>
    <x v="2"/>
    <s v="A"/>
    <n v="950"/>
    <n v="831"/>
    <n v="13"/>
    <n v="5"/>
    <n v="0.98435619735258728"/>
    <n v="0.98958333333333337"/>
    <n v="0.87473684210526315"/>
    <n v="85.208333333333343"/>
    <n v="1.5643802647412757E-2"/>
  </r>
  <r>
    <s v="2026-06-16"/>
    <x v="2"/>
    <s v="B"/>
    <n v="900"/>
    <n v="816"/>
    <n v="31"/>
    <n v="49"/>
    <n v="0.96200980392156865"/>
    <n v="0.8979166666666667"/>
    <n v="0.90666666666666662"/>
    <n v="78.318287037037038"/>
    <n v="3.7990196078431369E-2"/>
  </r>
  <r>
    <s v="2026-06-16"/>
    <x v="2"/>
    <s v="C"/>
    <n v="1100"/>
    <n v="1058"/>
    <n v="5"/>
    <n v="56"/>
    <n v="0.99527410207939504"/>
    <n v="0.8833333333333333"/>
    <n v="0.96181818181818179"/>
    <n v="84.559090909090898"/>
    <n v="4.725897920604915E-3"/>
  </r>
  <r>
    <s v="2026-06-17"/>
    <x v="0"/>
    <s v="A"/>
    <n v="950"/>
    <n v="850"/>
    <n v="5"/>
    <n v="33"/>
    <n v="0.99411764705882355"/>
    <n v="0.93125000000000002"/>
    <n v="0.89473684210526316"/>
    <n v="82.83223684210526"/>
    <n v="5.8823529411764705E-3"/>
  </r>
  <r>
    <s v="2026-06-17"/>
    <x v="0"/>
    <s v="B"/>
    <n v="950"/>
    <n v="862"/>
    <n v="13"/>
    <n v="39"/>
    <n v="0.98491879350348033"/>
    <n v="0.91874999999999996"/>
    <n v="0.9073684210526316"/>
    <n v="82.107236842105266"/>
    <n v="1.5081206496519721E-2"/>
  </r>
  <r>
    <s v="2026-06-17"/>
    <x v="0"/>
    <s v="C"/>
    <n v="1000"/>
    <n v="897"/>
    <n v="15"/>
    <n v="9"/>
    <n v="0.98327759197324416"/>
    <n v="0.98124999999999996"/>
    <n v="0.89700000000000002"/>
    <n v="86.546249999999986"/>
    <n v="1.6722408026755852E-2"/>
  </r>
  <r>
    <s v="2026-06-17"/>
    <x v="1"/>
    <s v="A"/>
    <n v="1050"/>
    <n v="1034"/>
    <n v="45"/>
    <n v="25"/>
    <n v="0.95647969052224369"/>
    <n v="0.94791666666666663"/>
    <n v="0.98476190476190473"/>
    <n v="89.284722222222214"/>
    <n v="4.3520309477756286E-2"/>
  </r>
  <r>
    <s v="2026-06-17"/>
    <x v="1"/>
    <s v="B"/>
    <n v="1100"/>
    <n v="1076"/>
    <n v="25"/>
    <n v="39"/>
    <n v="0.97676579925650553"/>
    <n v="0.91874999999999996"/>
    <n v="0.97818181818181815"/>
    <n v="87.782386363636363"/>
    <n v="2.3234200743494422E-2"/>
  </r>
  <r>
    <s v="2026-06-17"/>
    <x v="1"/>
    <s v="C"/>
    <n v="950"/>
    <n v="859"/>
    <n v="28"/>
    <n v="6"/>
    <n v="0.96740395809080326"/>
    <n v="0.98750000000000004"/>
    <n v="0.90421052631578946"/>
    <n v="86.380263157894731"/>
    <n v="3.2596041909196738E-2"/>
  </r>
  <r>
    <s v="2026-06-17"/>
    <x v="2"/>
    <s v="A"/>
    <n v="1050"/>
    <n v="1012"/>
    <n v="45"/>
    <n v="12"/>
    <n v="0.9555335968379447"/>
    <n v="0.97499999999999998"/>
    <n v="0.96380952380952378"/>
    <n v="89.792857142857144"/>
    <n v="4.4466403162055336E-2"/>
  </r>
  <r>
    <s v="2026-06-17"/>
    <x v="2"/>
    <s v="B"/>
    <n v="1000"/>
    <n v="991"/>
    <n v="28"/>
    <n v="48"/>
    <n v="0.97174571140262356"/>
    <n v="0.9"/>
    <n v="0.99099999999999999"/>
    <n v="86.67"/>
    <n v="2.8254288597376387E-2"/>
  </r>
  <r>
    <s v="2026-06-17"/>
    <x v="2"/>
    <s v="C"/>
    <n v="1050"/>
    <n v="950"/>
    <n v="45"/>
    <n v="59"/>
    <n v="0.95263157894736838"/>
    <n v="0.87708333333333333"/>
    <n v="0.90476190476190477"/>
    <n v="75.596230158730165"/>
    <n v="4.736842105263158E-2"/>
  </r>
  <r>
    <s v="2026-06-18"/>
    <x v="0"/>
    <s v="A"/>
    <n v="900"/>
    <n v="877"/>
    <n v="38"/>
    <n v="10"/>
    <n v="0.95667046750285067"/>
    <n v="0.97916666666666663"/>
    <n v="0.97444444444444445"/>
    <n v="91.280092592592595"/>
    <n v="4.3329532497149374E-2"/>
  </r>
  <r>
    <s v="2026-06-18"/>
    <x v="0"/>
    <s v="B"/>
    <n v="900"/>
    <n v="855"/>
    <n v="38"/>
    <n v="35"/>
    <n v="0.9555555555555556"/>
    <n v="0.92708333333333337"/>
    <n v="0.95"/>
    <n v="84.158564814814824"/>
    <n v="4.4444444444444446E-2"/>
  </r>
  <r>
    <s v="2026-06-18"/>
    <x v="0"/>
    <s v="C"/>
    <n v="1050"/>
    <n v="941"/>
    <n v="43"/>
    <n v="40"/>
    <n v="0.95430393198724761"/>
    <n v="0.91666666666666663"/>
    <n v="0.8961904761904762"/>
    <n v="78.396825396825392"/>
    <n v="4.5696068012752389E-2"/>
  </r>
  <r>
    <s v="2026-06-18"/>
    <x v="1"/>
    <s v="A"/>
    <n v="1050"/>
    <n v="977"/>
    <n v="44"/>
    <n v="29"/>
    <n v="0.95496417604912998"/>
    <n v="0.93958333333333333"/>
    <n v="0.93047619047619046"/>
    <n v="83.48869047619047"/>
    <n v="4.503582395087001E-2"/>
  </r>
  <r>
    <s v="2026-06-18"/>
    <x v="1"/>
    <s v="B"/>
    <n v="950"/>
    <n v="892"/>
    <n v="26"/>
    <n v="3"/>
    <n v="0.97085201793721976"/>
    <n v="0.99375000000000002"/>
    <n v="0.93894736842105264"/>
    <n v="90.588157894736852"/>
    <n v="2.914798206278027E-2"/>
  </r>
  <r>
    <s v="2026-06-18"/>
    <x v="1"/>
    <s v="C"/>
    <n v="950"/>
    <n v="891"/>
    <n v="25"/>
    <n v="13"/>
    <n v="0.97194163860830529"/>
    <n v="0.97291666666666665"/>
    <n v="0.93789473684210523"/>
    <n v="88.68903508771929"/>
    <n v="2.8058361391694726E-2"/>
  </r>
  <r>
    <s v="2026-06-18"/>
    <x v="2"/>
    <s v="A"/>
    <n v="1000"/>
    <n v="972"/>
    <n v="19"/>
    <n v="51"/>
    <n v="0.98045267489711929"/>
    <n v="0.89375000000000004"/>
    <n v="0.97199999999999998"/>
    <n v="85.174374999999998"/>
    <n v="1.954732510288066E-2"/>
  </r>
  <r>
    <s v="2026-06-18"/>
    <x v="2"/>
    <s v="B"/>
    <n v="900"/>
    <n v="811"/>
    <n v="14"/>
    <n v="11"/>
    <n v="0.98273736128236744"/>
    <n v="0.9770833333333333"/>
    <n v="0.90111111111111108"/>
    <n v="86.526157407407396"/>
    <n v="1.7262638717632551E-2"/>
  </r>
  <r>
    <s v="2026-06-18"/>
    <x v="2"/>
    <s v="C"/>
    <n v="1100"/>
    <n v="998"/>
    <n v="43"/>
    <n v="33"/>
    <n v="0.95691382765531063"/>
    <n v="0.93125000000000002"/>
    <n v="0.90727272727272723"/>
    <n v="80.849431818181813"/>
    <n v="4.308617234468938E-2"/>
  </r>
  <r>
    <s v="2026-06-19"/>
    <x v="0"/>
    <s v="A"/>
    <n v="900"/>
    <n v="887"/>
    <n v="40"/>
    <n v="45"/>
    <n v="0.95490417136414885"/>
    <n v="0.90625"/>
    <n v="0.98555555555555552"/>
    <n v="85.288194444444443"/>
    <n v="4.5095828635851182E-2"/>
  </r>
  <r>
    <s v="2026-06-19"/>
    <x v="0"/>
    <s v="B"/>
    <n v="1050"/>
    <n v="978"/>
    <n v="25"/>
    <n v="38"/>
    <n v="0.97443762781186094"/>
    <n v="0.92083333333333328"/>
    <n v="0.93142857142857138"/>
    <n v="83.576587301587296"/>
    <n v="2.556237218813906E-2"/>
  </r>
  <r>
    <s v="2026-06-19"/>
    <x v="0"/>
    <s v="C"/>
    <n v="900"/>
    <n v="784"/>
    <n v="10"/>
    <n v="15"/>
    <n v="0.98724489795918369"/>
    <n v="0.96875"/>
    <n v="0.87111111111111106"/>
    <n v="83.3125"/>
    <n v="1.2755102040816327E-2"/>
  </r>
  <r>
    <s v="2026-06-19"/>
    <x v="1"/>
    <s v="A"/>
    <n v="1050"/>
    <n v="1015"/>
    <n v="48"/>
    <n v="36"/>
    <n v="0.9527093596059113"/>
    <n v="0.92500000000000004"/>
    <n v="0.96666666666666667"/>
    <n v="85.188095238095229"/>
    <n v="4.7290640394088673E-2"/>
  </r>
  <r>
    <s v="2026-06-19"/>
    <x v="1"/>
    <s v="B"/>
    <n v="1050"/>
    <n v="973"/>
    <n v="22"/>
    <n v="31"/>
    <n v="0.97738951695786225"/>
    <n v="0.93541666666666667"/>
    <n v="0.92666666666666664"/>
    <n v="84.722023809523805"/>
    <n v="2.2610483042137718E-2"/>
  </r>
  <r>
    <s v="2026-06-19"/>
    <x v="1"/>
    <s v="C"/>
    <n v="1050"/>
    <n v="931"/>
    <n v="44"/>
    <n v="40"/>
    <n v="0.95273899033297527"/>
    <n v="0.91666666666666663"/>
    <n v="0.88666666666666671"/>
    <n v="77.436507936507937"/>
    <n v="4.7261009667024706E-2"/>
  </r>
  <r>
    <s v="2026-06-19"/>
    <x v="2"/>
    <s v="A"/>
    <n v="900"/>
    <n v="795"/>
    <n v="19"/>
    <n v="18"/>
    <n v="0.97610062893081762"/>
    <n v="0.96250000000000002"/>
    <n v="0.8833333333333333"/>
    <n v="82.988888888888894"/>
    <n v="2.3899371069182392E-2"/>
  </r>
  <r>
    <s v="2026-06-19"/>
    <x v="2"/>
    <s v="B"/>
    <n v="900"/>
    <n v="882"/>
    <n v="6"/>
    <n v="0"/>
    <n v="0.99319727891156462"/>
    <n v="1"/>
    <n v="0.98"/>
    <n v="97.333333333333329"/>
    <n v="6.8027210884353739E-3"/>
  </r>
  <r>
    <s v="2026-06-19"/>
    <x v="2"/>
    <s v="C"/>
    <n v="900"/>
    <n v="866"/>
    <n v="30"/>
    <n v="34"/>
    <n v="0.96535796766743653"/>
    <n v="0.9291666666666667"/>
    <n v="0.9622222222222222"/>
    <n v="86.309259259259264"/>
    <n v="3.4642032332563508E-2"/>
  </r>
  <r>
    <s v="2026-06-20"/>
    <x v="0"/>
    <s v="A"/>
    <n v="1000"/>
    <n v="924"/>
    <n v="14"/>
    <n v="34"/>
    <n v="0.98484848484848486"/>
    <n v="0.9291666666666667"/>
    <n v="0.92400000000000004"/>
    <n v="84.554166666666674"/>
    <n v="1.5151515151515152E-2"/>
  </r>
  <r>
    <s v="2026-06-20"/>
    <x v="0"/>
    <s v="B"/>
    <n v="1050"/>
    <n v="1026"/>
    <n v="21"/>
    <n v="56"/>
    <n v="0.97953216374269003"/>
    <n v="0.8833333333333333"/>
    <n v="0.97714285714285709"/>
    <n v="84.547619047619037"/>
    <n v="2.046783625730994E-2"/>
  </r>
  <r>
    <s v="2026-06-20"/>
    <x v="0"/>
    <s v="C"/>
    <n v="1050"/>
    <n v="1048"/>
    <n v="26"/>
    <n v="34"/>
    <n v="0.97519083969465647"/>
    <n v="0.9291666666666667"/>
    <n v="0.99809523809523815"/>
    <n v="90.438888888888897"/>
    <n v="2.4809160305343511E-2"/>
  </r>
  <r>
    <s v="2026-06-20"/>
    <x v="1"/>
    <s v="A"/>
    <n v="900"/>
    <n v="855"/>
    <n v="22"/>
    <n v="46"/>
    <n v="0.97426900584795317"/>
    <n v="0.90416666666666667"/>
    <n v="0.95"/>
    <n v="83.685648148148147"/>
    <n v="2.5730994152046785E-2"/>
  </r>
  <r>
    <s v="2026-06-20"/>
    <x v="1"/>
    <s v="B"/>
    <n v="1100"/>
    <n v="1075"/>
    <n v="42"/>
    <n v="32"/>
    <n v="0.96093023255813959"/>
    <n v="0.93333333333333335"/>
    <n v="0.97727272727272729"/>
    <n v="87.64848484848487"/>
    <n v="3.9069767441860463E-2"/>
  </r>
  <r>
    <s v="2026-06-20"/>
    <x v="1"/>
    <s v="C"/>
    <n v="1100"/>
    <n v="982"/>
    <n v="20"/>
    <n v="46"/>
    <n v="0.97963340122199594"/>
    <n v="0.90416666666666667"/>
    <n v="0.8927272727272727"/>
    <n v="79.073484848484853"/>
    <n v="2.0366598778004074E-2"/>
  </r>
  <r>
    <s v="2026-06-20"/>
    <x v="2"/>
    <s v="A"/>
    <n v="1100"/>
    <n v="997"/>
    <n v="31"/>
    <n v="52"/>
    <n v="0.96890672016048141"/>
    <n v="0.89166666666666672"/>
    <n v="0.90636363636363637"/>
    <n v="78.304545454545462"/>
    <n v="3.1093279839518557E-2"/>
  </r>
  <r>
    <s v="2026-06-20"/>
    <x v="2"/>
    <s v="B"/>
    <n v="900"/>
    <n v="838"/>
    <n v="18"/>
    <n v="39"/>
    <n v="0.97852028639618138"/>
    <n v="0.91874999999999996"/>
    <n v="0.93111111111111111"/>
    <n v="83.708333333333329"/>
    <n v="2.1479713603818614E-2"/>
  </r>
  <r>
    <s v="2026-06-20"/>
    <x v="2"/>
    <s v="C"/>
    <n v="1050"/>
    <n v="950"/>
    <n v="14"/>
    <n v="18"/>
    <n v="0.98526315789473684"/>
    <n v="0.96250000000000002"/>
    <n v="0.90476190476190477"/>
    <n v="85.8"/>
    <n v="1.4736842105263158E-2"/>
  </r>
  <r>
    <s v="2026-06-21"/>
    <x v="0"/>
    <s v="A"/>
    <n v="950"/>
    <n v="935"/>
    <n v="17"/>
    <n v="4"/>
    <n v="0.98181818181818181"/>
    <n v="0.9916666666666667"/>
    <n v="0.98421052631578942"/>
    <n v="95.826315789473682"/>
    <n v="1.8181818181818181E-2"/>
  </r>
  <r>
    <s v="2026-06-21"/>
    <x v="0"/>
    <s v="B"/>
    <n v="900"/>
    <n v="818"/>
    <n v="22"/>
    <n v="31"/>
    <n v="0.97310513447432767"/>
    <n v="0.93541666666666667"/>
    <n v="0.90888888888888886"/>
    <n v="82.732407407407408"/>
    <n v="2.6894865525672371E-2"/>
  </r>
  <r>
    <s v="2026-06-21"/>
    <x v="0"/>
    <s v="C"/>
    <n v="1000"/>
    <n v="951"/>
    <n v="19"/>
    <n v="10"/>
    <n v="0.98002103049421663"/>
    <n v="0.97916666666666663"/>
    <n v="0.95099999999999996"/>
    <n v="91.258333333333326"/>
    <n v="1.9978969505783387E-2"/>
  </r>
  <r>
    <s v="2026-06-21"/>
    <x v="1"/>
    <s v="A"/>
    <n v="900"/>
    <n v="796"/>
    <n v="21"/>
    <n v="52"/>
    <n v="0.97361809045226133"/>
    <n v="0.89166666666666672"/>
    <n v="0.88444444444444448"/>
    <n v="76.782407407407419"/>
    <n v="2.6381909547738693E-2"/>
  </r>
  <r>
    <s v="2026-06-21"/>
    <x v="1"/>
    <s v="B"/>
    <n v="950"/>
    <n v="909"/>
    <n v="32"/>
    <n v="59"/>
    <n v="0.96479647964796478"/>
    <n v="0.87708333333333333"/>
    <n v="0.95684210526315794"/>
    <n v="80.968640350877195"/>
    <n v="3.5203520352035202E-2"/>
  </r>
  <r>
    <s v="2026-06-21"/>
    <x v="1"/>
    <s v="C"/>
    <n v="1050"/>
    <n v="972"/>
    <n v="31"/>
    <n v="39"/>
    <n v="0.96810699588477367"/>
    <n v="0.91874999999999996"/>
    <n v="0.92571428571428571"/>
    <n v="82.337499999999991"/>
    <n v="3.1893004115226338E-2"/>
  </r>
  <r>
    <s v="2026-06-21"/>
    <x v="2"/>
    <s v="A"/>
    <n v="900"/>
    <n v="863"/>
    <n v="10"/>
    <n v="45"/>
    <n v="0.98841251448435685"/>
    <n v="0.90625"/>
    <n v="0.9588888888888889"/>
    <n v="85.8923611111111"/>
    <n v="1.1587485515643106E-2"/>
  </r>
  <r>
    <s v="2026-06-21"/>
    <x v="2"/>
    <s v="B"/>
    <n v="950"/>
    <n v="908"/>
    <n v="12"/>
    <n v="14"/>
    <n v="0.986784140969163"/>
    <n v="0.97083333333333333"/>
    <n v="0.95578947368421052"/>
    <n v="91.564912280701762"/>
    <n v="1.3215859030837005E-2"/>
  </r>
  <r>
    <s v="2026-06-21"/>
    <x v="2"/>
    <s v="C"/>
    <n v="1000"/>
    <n v="902"/>
    <n v="27"/>
    <n v="9"/>
    <n v="0.97006651884700668"/>
    <n v="0.98124999999999996"/>
    <n v="0.90200000000000002"/>
    <n v="85.859375"/>
    <n v="2.9933481152993349E-2"/>
  </r>
  <r>
    <s v="2026-06-22"/>
    <x v="0"/>
    <s v="A"/>
    <n v="1000"/>
    <n v="904"/>
    <n v="42"/>
    <n v="15"/>
    <n v="0.95353982300884954"/>
    <n v="0.96875"/>
    <n v="0.90400000000000003"/>
    <n v="83.506250000000009"/>
    <n v="4.6460176991150445E-2"/>
  </r>
  <r>
    <s v="2026-06-22"/>
    <x v="0"/>
    <s v="B"/>
    <n v="1050"/>
    <n v="945"/>
    <n v="17"/>
    <n v="34"/>
    <n v="0.982010582010582"/>
    <n v="0.9291666666666667"/>
    <n v="0.9"/>
    <n v="82.120634920634927"/>
    <n v="1.7989417989417989E-2"/>
  </r>
  <r>
    <s v="2026-06-22"/>
    <x v="0"/>
    <s v="C"/>
    <n v="1000"/>
    <n v="970"/>
    <n v="23"/>
    <n v="23"/>
    <n v="0.97628865979381441"/>
    <n v="0.95208333333333328"/>
    <n v="0.97"/>
    <n v="90.162291666666661"/>
    <n v="2.3711340206185566E-2"/>
  </r>
  <r>
    <s v="2026-06-22"/>
    <x v="1"/>
    <s v="A"/>
    <n v="950"/>
    <n v="936"/>
    <n v="40"/>
    <n v="29"/>
    <n v="0.95726495726495731"/>
    <n v="0.93958333333333333"/>
    <n v="0.98526315789473684"/>
    <n v="88.617543859649118"/>
    <n v="4.2735042735042736E-2"/>
  </r>
  <r>
    <s v="2026-06-22"/>
    <x v="1"/>
    <s v="B"/>
    <n v="950"/>
    <n v="941"/>
    <n v="12"/>
    <n v="44"/>
    <n v="0.98724760892667374"/>
    <n v="0.90833333333333333"/>
    <n v="0.9905263157894737"/>
    <n v="88.825438596491239"/>
    <n v="1.2752391073326248E-2"/>
  </r>
  <r>
    <s v="2026-06-22"/>
    <x v="1"/>
    <s v="C"/>
    <n v="1100"/>
    <n v="1020"/>
    <n v="23"/>
    <n v="10"/>
    <n v="0.97745098039215683"/>
    <n v="0.97916666666666663"/>
    <n v="0.92727272727272725"/>
    <n v="88.748106060606062"/>
    <n v="2.2549019607843137E-2"/>
  </r>
  <r>
    <s v="2026-06-22"/>
    <x v="2"/>
    <s v="A"/>
    <n v="1000"/>
    <n v="887"/>
    <n v="41"/>
    <n v="56"/>
    <n v="0.95377677564825258"/>
    <n v="0.8833333333333333"/>
    <n v="0.88700000000000001"/>
    <n v="74.73"/>
    <n v="4.6223224351747465E-2"/>
  </r>
  <r>
    <s v="2026-06-22"/>
    <x v="2"/>
    <s v="B"/>
    <n v="1100"/>
    <n v="1088"/>
    <n v="13"/>
    <n v="18"/>
    <n v="0.98805147058823528"/>
    <n v="0.96250000000000002"/>
    <n v="0.98909090909090913"/>
    <n v="94.0625"/>
    <n v="1.1948529411764705E-2"/>
  </r>
  <r>
    <s v="2026-06-22"/>
    <x v="2"/>
    <s v="C"/>
    <n v="900"/>
    <n v="872"/>
    <n v="8"/>
    <n v="19"/>
    <n v="0.99082568807339455"/>
    <n v="0.9604166666666667"/>
    <n v="0.96888888888888891"/>
    <n v="92.200000000000017"/>
    <n v="9.1743119266055051E-3"/>
  </r>
  <r>
    <s v="2026-06-23"/>
    <x v="0"/>
    <s v="A"/>
    <n v="900"/>
    <n v="894"/>
    <n v="6"/>
    <n v="59"/>
    <n v="0.99328859060402686"/>
    <n v="0.87708333333333333"/>
    <n v="0.99333333333333329"/>
    <n v="86.538888888888891"/>
    <n v="6.7114093959731542E-3"/>
  </r>
  <r>
    <s v="2026-06-23"/>
    <x v="0"/>
    <s v="B"/>
    <n v="1050"/>
    <n v="995"/>
    <n v="20"/>
    <n v="53"/>
    <n v="0.97989949748743721"/>
    <n v="0.88958333333333328"/>
    <n v="0.94761904761904758"/>
    <n v="82.604166666666657"/>
    <n v="2.0100502512562814E-2"/>
  </r>
  <r>
    <s v="2026-06-23"/>
    <x v="0"/>
    <s v="C"/>
    <n v="1100"/>
    <n v="1067"/>
    <n v="12"/>
    <n v="15"/>
    <n v="0.98875351452671045"/>
    <n v="0.96875"/>
    <n v="0.97"/>
    <n v="92.911931818181827"/>
    <n v="1.1246485473289597E-2"/>
  </r>
  <r>
    <s v="2026-06-23"/>
    <x v="1"/>
    <s v="A"/>
    <n v="1100"/>
    <n v="998"/>
    <n v="7"/>
    <n v="14"/>
    <n v="0.99298597194388782"/>
    <n v="0.97083333333333333"/>
    <n v="0.90727272727272723"/>
    <n v="87.463257575757567"/>
    <n v="7.0140280561122245E-3"/>
  </r>
  <r>
    <s v="2026-06-23"/>
    <x v="1"/>
    <s v="B"/>
    <n v="1000"/>
    <n v="890"/>
    <n v="44"/>
    <n v="22"/>
    <n v="0.95056179775280902"/>
    <n v="0.95416666666666672"/>
    <n v="0.89"/>
    <n v="80.722500000000011"/>
    <n v="4.9438202247191011E-2"/>
  </r>
  <r>
    <s v="2026-06-23"/>
    <x v="1"/>
    <s v="C"/>
    <n v="1000"/>
    <n v="973"/>
    <n v="42"/>
    <n v="5"/>
    <n v="0.95683453237410077"/>
    <n v="0.98958333333333337"/>
    <n v="0.97299999999999998"/>
    <n v="92.130208333333343"/>
    <n v="4.3165467625899283E-2"/>
  </r>
  <r>
    <s v="2026-06-23"/>
    <x v="2"/>
    <s v="A"/>
    <n v="950"/>
    <n v="839"/>
    <n v="40"/>
    <n v="33"/>
    <n v="0.95232419547079861"/>
    <n v="0.93125000000000002"/>
    <n v="0.88315789473684214"/>
    <n v="78.323026315789477"/>
    <n v="4.7675804529201428E-2"/>
  </r>
  <r>
    <s v="2026-06-23"/>
    <x v="2"/>
    <s v="B"/>
    <n v="1050"/>
    <n v="1031"/>
    <n v="18"/>
    <n v="58"/>
    <n v="0.98254122211445194"/>
    <n v="0.87916666666666665"/>
    <n v="0.98190476190476195"/>
    <n v="84.818650793650789"/>
    <n v="1.7458777885548012E-2"/>
  </r>
  <r>
    <s v="2026-06-23"/>
    <x v="2"/>
    <s v="C"/>
    <n v="950"/>
    <n v="945"/>
    <n v="5"/>
    <n v="32"/>
    <n v="0.99470899470899465"/>
    <n v="0.93333333333333335"/>
    <n v="0.99473684210526314"/>
    <n v="92.350877192982452"/>
    <n v="5.2910052910052907E-3"/>
  </r>
  <r>
    <s v="2026-06-24"/>
    <x v="0"/>
    <s v="A"/>
    <n v="1050"/>
    <n v="1015"/>
    <n v="18"/>
    <n v="35"/>
    <n v="0.98226600985221679"/>
    <n v="0.92708333333333337"/>
    <n v="0.96666666666666667"/>
    <n v="88.028769841269849"/>
    <n v="1.7733990147783252E-2"/>
  </r>
  <r>
    <s v="2026-06-24"/>
    <x v="0"/>
    <s v="B"/>
    <n v="1100"/>
    <n v="1078"/>
    <n v="34"/>
    <n v="24"/>
    <n v="0.96846011131725418"/>
    <n v="0.95"/>
    <n v="0.98"/>
    <n v="90.163636363636357"/>
    <n v="3.1539888682745827E-2"/>
  </r>
  <r>
    <s v="2026-06-24"/>
    <x v="0"/>
    <s v="C"/>
    <n v="1050"/>
    <n v="1013"/>
    <n v="31"/>
    <n v="39"/>
    <n v="0.96939782823297138"/>
    <n v="0.91874999999999996"/>
    <n v="0.96476190476190471"/>
    <n v="85.924999999999997"/>
    <n v="3.0602171767028629E-2"/>
  </r>
  <r>
    <s v="2026-06-24"/>
    <x v="1"/>
    <s v="A"/>
    <n v="1100"/>
    <n v="1056"/>
    <n v="10"/>
    <n v="56"/>
    <n v="0.99053030303030298"/>
    <n v="0.8833333333333333"/>
    <n v="0.96"/>
    <n v="83.996969696969686"/>
    <n v="9.46969696969697E-3"/>
  </r>
  <r>
    <s v="2026-06-24"/>
    <x v="1"/>
    <s v="B"/>
    <n v="950"/>
    <n v="845"/>
    <n v="39"/>
    <n v="33"/>
    <n v="0.9538461538461539"/>
    <n v="0.93125000000000002"/>
    <n v="0.88947368421052631"/>
    <n v="79.009210526315783"/>
    <n v="4.6153846153846156E-2"/>
  </r>
  <r>
    <s v="2026-06-24"/>
    <x v="1"/>
    <s v="C"/>
    <n v="1050"/>
    <n v="1002"/>
    <n v="16"/>
    <n v="44"/>
    <n v="0.98403193612774453"/>
    <n v="0.90833333333333333"/>
    <n v="0.95428571428571429"/>
    <n v="85.296825396825398"/>
    <n v="1.5968063872255488E-2"/>
  </r>
  <r>
    <s v="2026-06-24"/>
    <x v="2"/>
    <s v="A"/>
    <n v="900"/>
    <n v="782"/>
    <n v="29"/>
    <n v="17"/>
    <n v="0.96291560102301788"/>
    <n v="0.96458333333333335"/>
    <n v="0.86888888888888893"/>
    <n v="80.703472222222231"/>
    <n v="3.7084398976982097E-2"/>
  </r>
  <r>
    <s v="2026-06-24"/>
    <x v="2"/>
    <s v="B"/>
    <n v="950"/>
    <n v="846"/>
    <n v="11"/>
    <n v="58"/>
    <n v="0.98699763593380618"/>
    <n v="0.87916666666666665"/>
    <n v="0.89052631578947372"/>
    <n v="77.274122807017548"/>
    <n v="1.3002364066193853E-2"/>
  </r>
  <r>
    <s v="2026-06-24"/>
    <x v="2"/>
    <s v="C"/>
    <n v="1100"/>
    <n v="1079"/>
    <n v="35"/>
    <n v="14"/>
    <n v="0.9675625579240037"/>
    <n v="0.97083333333333333"/>
    <n v="0.98090909090909095"/>
    <n v="92.140909090909091"/>
    <n v="3.2437442075996289E-2"/>
  </r>
  <r>
    <s v="2026-06-25"/>
    <x v="0"/>
    <s v="A"/>
    <n v="900"/>
    <n v="801"/>
    <n v="7"/>
    <n v="48"/>
    <n v="0.99126092384519349"/>
    <n v="0.9"/>
    <n v="0.89"/>
    <n v="79.400000000000006"/>
    <n v="8.7390761548064924E-3"/>
  </r>
  <r>
    <s v="2026-06-25"/>
    <x v="0"/>
    <s v="B"/>
    <n v="1000"/>
    <n v="951"/>
    <n v="38"/>
    <n v="60"/>
    <n v="0.96004206098843325"/>
    <n v="0.875"/>
    <n v="0.95099999999999996"/>
    <n v="79.887500000000003"/>
    <n v="3.9957939011566773E-2"/>
  </r>
  <r>
    <s v="2026-06-25"/>
    <x v="0"/>
    <s v="C"/>
    <n v="1050"/>
    <n v="990"/>
    <n v="27"/>
    <n v="51"/>
    <n v="0.97272727272727277"/>
    <n v="0.89375000000000004"/>
    <n v="0.94285714285714284"/>
    <n v="81.969642857142873"/>
    <n v="2.7272727272727271E-2"/>
  </r>
  <r>
    <s v="2026-06-25"/>
    <x v="1"/>
    <s v="A"/>
    <n v="950"/>
    <n v="830"/>
    <n v="32"/>
    <n v="47"/>
    <n v="0.96144578313253015"/>
    <n v="0.90208333333333335"/>
    <n v="0.87368421052631584"/>
    <n v="75.77500000000002"/>
    <n v="3.8554216867469883E-2"/>
  </r>
  <r>
    <s v="2026-06-25"/>
    <x v="1"/>
    <s v="B"/>
    <n v="1050"/>
    <n v="999"/>
    <n v="5"/>
    <n v="27"/>
    <n v="0.994994994994995"/>
    <n v="0.94374999999999998"/>
    <n v="0.9514285714285714"/>
    <n v="89.341666666666669"/>
    <n v="5.005005005005005E-3"/>
  </r>
  <r>
    <s v="2026-06-25"/>
    <x v="1"/>
    <s v="C"/>
    <n v="1100"/>
    <n v="1083"/>
    <n v="14"/>
    <n v="52"/>
    <n v="0.987072945521699"/>
    <n v="0.89166666666666672"/>
    <n v="0.9845454545454545"/>
    <n v="86.653787878787881"/>
    <n v="1.2927054478301015E-2"/>
  </r>
  <r>
    <s v="2026-06-25"/>
    <x v="2"/>
    <s v="A"/>
    <n v="1100"/>
    <n v="1011"/>
    <n v="47"/>
    <n v="30"/>
    <n v="0.95351137487636006"/>
    <n v="0.9375"/>
    <n v="0.91909090909090907"/>
    <n v="82.159090909090921"/>
    <n v="4.6488625123639958E-2"/>
  </r>
  <r>
    <s v="2026-06-25"/>
    <x v="2"/>
    <s v="B"/>
    <n v="1000"/>
    <n v="918"/>
    <n v="18"/>
    <n v="51"/>
    <n v="0.98039215686274506"/>
    <n v="0.89375000000000004"/>
    <n v="0.91800000000000004"/>
    <n v="80.4375"/>
    <n v="1.9607843137254902E-2"/>
  </r>
  <r>
    <s v="2026-06-25"/>
    <x v="2"/>
    <s v="C"/>
    <n v="1000"/>
    <n v="959"/>
    <n v="6"/>
    <n v="39"/>
    <n v="0.99374348279457769"/>
    <n v="0.91874999999999996"/>
    <n v="0.95899999999999996"/>
    <n v="87.556875000000005"/>
    <n v="6.2565172054223151E-3"/>
  </r>
  <r>
    <s v="2026-06-26"/>
    <x v="0"/>
    <s v="A"/>
    <n v="1000"/>
    <n v="950"/>
    <n v="41"/>
    <n v="36"/>
    <n v="0.95684210526315794"/>
    <n v="0.92500000000000004"/>
    <n v="0.95"/>
    <n v="84.08250000000001"/>
    <n v="4.3157894736842103E-2"/>
  </r>
  <r>
    <s v="2026-06-26"/>
    <x v="0"/>
    <s v="B"/>
    <n v="900"/>
    <n v="809"/>
    <n v="12"/>
    <n v="49"/>
    <n v="0.98516687268232384"/>
    <n v="0.8979166666666667"/>
    <n v="0.89888888888888885"/>
    <n v="79.515509259259261"/>
    <n v="1.4833127317676144E-2"/>
  </r>
  <r>
    <s v="2026-06-26"/>
    <x v="0"/>
    <s v="C"/>
    <n v="900"/>
    <n v="814"/>
    <n v="7"/>
    <n v="26"/>
    <n v="0.99140049140049136"/>
    <n v="0.9458333333333333"/>
    <n v="0.9044444444444445"/>
    <n v="84.809722222222234"/>
    <n v="8.5995085995085995E-3"/>
  </r>
  <r>
    <s v="2026-06-26"/>
    <x v="1"/>
    <s v="A"/>
    <n v="1050"/>
    <n v="1046"/>
    <n v="35"/>
    <n v="53"/>
    <n v="0.96653919694072654"/>
    <n v="0.88958333333333328"/>
    <n v="0.99619047619047618"/>
    <n v="85.654166666666669"/>
    <n v="3.3460803059273424E-2"/>
  </r>
  <r>
    <s v="2026-06-26"/>
    <x v="1"/>
    <s v="B"/>
    <n v="1000"/>
    <n v="938"/>
    <n v="13"/>
    <n v="56"/>
    <n v="0.98614072494669514"/>
    <n v="0.8833333333333333"/>
    <n v="0.93799999999999994"/>
    <n v="81.708333333333329"/>
    <n v="1.3859275053304905E-2"/>
  </r>
  <r>
    <s v="2026-06-26"/>
    <x v="1"/>
    <s v="C"/>
    <n v="1000"/>
    <n v="903"/>
    <n v="11"/>
    <n v="6"/>
    <n v="0.98781838316722037"/>
    <n v="0.98750000000000004"/>
    <n v="0.90300000000000002"/>
    <n v="88.085000000000008"/>
    <n v="1.2181616832779624E-2"/>
  </r>
  <r>
    <s v="2026-06-26"/>
    <x v="2"/>
    <s v="A"/>
    <n v="950"/>
    <n v="864"/>
    <n v="11"/>
    <n v="15"/>
    <n v="0.98726851851851849"/>
    <n v="0.96875"/>
    <n v="0.90947368421052632"/>
    <n v="86.983552631578945"/>
    <n v="1.2731481481481481E-2"/>
  </r>
  <r>
    <s v="2026-06-26"/>
    <x v="2"/>
    <s v="B"/>
    <n v="1100"/>
    <n v="1049"/>
    <n v="50"/>
    <n v="11"/>
    <n v="0.95233555767397526"/>
    <n v="0.9770833333333333"/>
    <n v="0.95363636363636362"/>
    <n v="88.736931818181816"/>
    <n v="4.7664442326024785E-2"/>
  </r>
  <r>
    <s v="2026-06-26"/>
    <x v="2"/>
    <s v="C"/>
    <n v="1000"/>
    <n v="894"/>
    <n v="40"/>
    <n v="1"/>
    <n v="0.95525727069351229"/>
    <n v="0.99791666666666667"/>
    <n v="0.89400000000000002"/>
    <n v="85.222083333333345"/>
    <n v="4.4742729306487698E-2"/>
  </r>
  <r>
    <s v="2026-06-27"/>
    <x v="0"/>
    <s v="A"/>
    <n v="1100"/>
    <n v="1035"/>
    <n v="30"/>
    <n v="30"/>
    <n v="0.97101449275362317"/>
    <n v="0.9375"/>
    <n v="0.94090909090909092"/>
    <n v="85.653409090909093"/>
    <n v="2.8985507246376812E-2"/>
  </r>
  <r>
    <s v="2026-06-27"/>
    <x v="0"/>
    <s v="B"/>
    <n v="950"/>
    <n v="925"/>
    <n v="37"/>
    <n v="30"/>
    <n v="0.96"/>
    <n v="0.9375"/>
    <n v="0.97368421052631582"/>
    <n v="87.631578947368411"/>
    <n v="0.04"/>
  </r>
  <r>
    <s v="2026-06-27"/>
    <x v="0"/>
    <s v="C"/>
    <n v="1100"/>
    <n v="980"/>
    <n v="9"/>
    <n v="7"/>
    <n v="0.99081632653061225"/>
    <n v="0.98541666666666672"/>
    <n v="0.89090909090909087"/>
    <n v="86.985416666666666"/>
    <n v="9.1836734693877559E-3"/>
  </r>
  <r>
    <s v="2026-06-27"/>
    <x v="1"/>
    <s v="A"/>
    <n v="1000"/>
    <n v="932"/>
    <n v="33"/>
    <n v="29"/>
    <n v="0.96459227467811159"/>
    <n v="0.93958333333333333"/>
    <n v="0.93200000000000005"/>
    <n v="84.468541666666667"/>
    <n v="3.5407725321888413E-2"/>
  </r>
  <r>
    <s v="2026-06-27"/>
    <x v="1"/>
    <s v="B"/>
    <n v="1100"/>
    <n v="983"/>
    <n v="38"/>
    <n v="55"/>
    <n v="0.9613428280773143"/>
    <n v="0.88541666666666663"/>
    <n v="0.89363636363636367"/>
    <n v="76.065340909090907"/>
    <n v="3.8657171922685654E-2"/>
  </r>
  <r>
    <s v="2026-06-27"/>
    <x v="1"/>
    <s v="C"/>
    <n v="1100"/>
    <n v="1032"/>
    <n v="48"/>
    <n v="0"/>
    <n v="0.95348837209302328"/>
    <n v="1"/>
    <n v="0.93818181818181823"/>
    <n v="89.454545454545467"/>
    <n v="4.6511627906976744E-2"/>
  </r>
  <r>
    <s v="2026-06-27"/>
    <x v="2"/>
    <s v="A"/>
    <n v="900"/>
    <n v="882"/>
    <n v="9"/>
    <n v="10"/>
    <n v="0.98979591836734693"/>
    <n v="0.97916666666666663"/>
    <n v="0.98"/>
    <n v="94.979166666666657"/>
    <n v="1.020408163265306E-2"/>
  </r>
  <r>
    <s v="2026-06-27"/>
    <x v="2"/>
    <s v="B"/>
    <n v="900"/>
    <n v="862"/>
    <n v="20"/>
    <n v="60"/>
    <n v="0.97679814385150809"/>
    <n v="0.875"/>
    <n v="0.95777777777777773"/>
    <n v="81.8611111111111"/>
    <n v="2.3201856148491878E-2"/>
  </r>
  <r>
    <s v="2026-06-27"/>
    <x v="2"/>
    <s v="C"/>
    <n v="950"/>
    <n v="845"/>
    <n v="20"/>
    <n v="55"/>
    <n v="0.97633136094674555"/>
    <n v="0.88541666666666663"/>
    <n v="0.88947368421052631"/>
    <n v="76.891447368421055"/>
    <n v="2.3668639053254437E-2"/>
  </r>
  <r>
    <s v="2026-06-28"/>
    <x v="0"/>
    <s v="A"/>
    <n v="900"/>
    <n v="853"/>
    <n v="22"/>
    <n v="9"/>
    <n v="0.97420867526377486"/>
    <n v="0.98124999999999996"/>
    <n v="0.94777777777777783"/>
    <n v="90.60208333333334"/>
    <n v="2.5791324736225089E-2"/>
  </r>
  <r>
    <s v="2026-06-28"/>
    <x v="0"/>
    <s v="B"/>
    <n v="950"/>
    <n v="916"/>
    <n v="34"/>
    <n v="56"/>
    <n v="0.96288209606986896"/>
    <n v="0.8833333333333333"/>
    <n v="0.96421052631578952"/>
    <n v="82.010526315789477"/>
    <n v="3.7117903930131008E-2"/>
  </r>
  <r>
    <s v="2026-06-28"/>
    <x v="0"/>
    <s v="C"/>
    <n v="1050"/>
    <n v="963"/>
    <n v="13"/>
    <n v="14"/>
    <n v="0.98650051921079962"/>
    <n v="0.97083333333333333"/>
    <n v="0.91714285714285715"/>
    <n v="87.837301587301582"/>
    <n v="1.3499480789200415E-2"/>
  </r>
  <r>
    <s v="2026-06-28"/>
    <x v="1"/>
    <s v="A"/>
    <n v="900"/>
    <n v="864"/>
    <n v="13"/>
    <n v="11"/>
    <n v="0.98495370370370372"/>
    <n v="0.9770833333333333"/>
    <n v="0.96"/>
    <n v="92.388657407407408"/>
    <n v="1.5046296296296295E-2"/>
  </r>
  <r>
    <s v="2026-06-28"/>
    <x v="1"/>
    <s v="B"/>
    <n v="950"/>
    <n v="932"/>
    <n v="5"/>
    <n v="49"/>
    <n v="0.99463519313304716"/>
    <n v="0.8979166666666667"/>
    <n v="0.9810526315789474"/>
    <n v="87.617763157894743"/>
    <n v="5.3648068669527897E-3"/>
  </r>
  <r>
    <s v="2026-06-28"/>
    <x v="1"/>
    <s v="C"/>
    <n v="900"/>
    <n v="827"/>
    <n v="13"/>
    <n v="36"/>
    <n v="0.98428053204353083"/>
    <n v="0.92500000000000004"/>
    <n v="0.91888888888888887"/>
    <n v="83.661111111111126"/>
    <n v="1.5719467956469165E-2"/>
  </r>
  <r>
    <s v="2026-06-28"/>
    <x v="2"/>
    <s v="A"/>
    <n v="1000"/>
    <n v="998"/>
    <n v="19"/>
    <n v="46"/>
    <n v="0.98096192384769543"/>
    <n v="0.90416666666666667"/>
    <n v="0.998"/>
    <n v="88.517916666666679"/>
    <n v="1.9038076152304611E-2"/>
  </r>
  <r>
    <s v="2026-06-28"/>
    <x v="2"/>
    <s v="B"/>
    <n v="1000"/>
    <n v="903"/>
    <n v="10"/>
    <n v="55"/>
    <n v="0.98892580287929122"/>
    <n v="0.88541666666666663"/>
    <n v="0.90300000000000002"/>
    <n v="79.067708333333329"/>
    <n v="1.1074197120708749E-2"/>
  </r>
  <r>
    <s v="2026-06-28"/>
    <x v="2"/>
    <s v="C"/>
    <n v="900"/>
    <n v="891"/>
    <n v="28"/>
    <n v="42"/>
    <n v="0.96857463524130194"/>
    <n v="0.91249999999999998"/>
    <n v="0.99"/>
    <n v="87.498611111111117"/>
    <n v="3.1425364758698095E-2"/>
  </r>
  <r>
    <s v="2026-06-29"/>
    <x v="0"/>
    <s v="A"/>
    <n v="1050"/>
    <n v="949"/>
    <n v="32"/>
    <n v="23"/>
    <n v="0.9662802950474183"/>
    <n v="0.95208333333333328"/>
    <n v="0.90380952380952384"/>
    <n v="83.148611111111109"/>
    <n v="3.3719704952581663E-2"/>
  </r>
  <r>
    <s v="2026-06-29"/>
    <x v="0"/>
    <s v="B"/>
    <n v="900"/>
    <n v="854"/>
    <n v="40"/>
    <n v="45"/>
    <n v="0.95316159250585475"/>
    <n v="0.90625"/>
    <n v="0.94888888888888889"/>
    <n v="81.965277777777771"/>
    <n v="4.6838407494145202E-2"/>
  </r>
  <r>
    <s v="2026-06-29"/>
    <x v="0"/>
    <s v="C"/>
    <n v="900"/>
    <n v="867"/>
    <n v="31"/>
    <n v="49"/>
    <n v="0.96424452133794691"/>
    <n v="0.8979166666666667"/>
    <n v="0.96333333333333337"/>
    <n v="83.406481481481492"/>
    <n v="3.5755478662053058E-2"/>
  </r>
  <r>
    <s v="2026-06-29"/>
    <x v="1"/>
    <s v="A"/>
    <n v="1000"/>
    <n v="905"/>
    <n v="29"/>
    <n v="40"/>
    <n v="0.96795580110497237"/>
    <n v="0.91666666666666663"/>
    <n v="0.90500000000000003"/>
    <n v="80.3"/>
    <n v="3.2044198895027624E-2"/>
  </r>
  <r>
    <s v="2026-06-29"/>
    <x v="1"/>
    <s v="B"/>
    <n v="900"/>
    <n v="845"/>
    <n v="25"/>
    <n v="57"/>
    <n v="0.97041420118343191"/>
    <n v="0.88124999999999998"/>
    <n v="0.93888888888888888"/>
    <n v="80.291666666666657"/>
    <n v="2.9585798816568046E-2"/>
  </r>
  <r>
    <s v="2026-06-29"/>
    <x v="1"/>
    <s v="C"/>
    <n v="950"/>
    <n v="918"/>
    <n v="28"/>
    <n v="1"/>
    <n v="0.9694989106753813"/>
    <n v="0.99791666666666667"/>
    <n v="0.96631578947368424"/>
    <n v="93.489035087719301"/>
    <n v="3.0501089324618737E-2"/>
  </r>
  <r>
    <s v="2026-06-29"/>
    <x v="2"/>
    <s v="A"/>
    <n v="1000"/>
    <n v="941"/>
    <n v="24"/>
    <n v="35"/>
    <n v="0.97449521785334747"/>
    <n v="0.92708333333333337"/>
    <n v="0.94099999999999995"/>
    <n v="85.013541666666654"/>
    <n v="2.5504782146652496E-2"/>
  </r>
  <r>
    <s v="2026-06-29"/>
    <x v="2"/>
    <s v="B"/>
    <n v="1050"/>
    <n v="967"/>
    <n v="46"/>
    <n v="0"/>
    <n v="0.95243019648397109"/>
    <n v="1"/>
    <n v="0.92095238095238097"/>
    <n v="87.714285714285722"/>
    <n v="4.7569803516028956E-2"/>
  </r>
  <r>
    <s v="2026-06-29"/>
    <x v="2"/>
    <s v="C"/>
    <n v="1000"/>
    <n v="988"/>
    <n v="14"/>
    <n v="31"/>
    <n v="0.98582995951417007"/>
    <n v="0.93541666666666667"/>
    <n v="0.98799999999999999"/>
    <n v="91.109583333333333"/>
    <n v="1.417004048582996E-2"/>
  </r>
  <r>
    <s v="2026-06-30"/>
    <x v="0"/>
    <s v="A"/>
    <n v="900"/>
    <n v="893"/>
    <n v="24"/>
    <n v="10"/>
    <n v="0.97312430011198203"/>
    <n v="0.97916666666666663"/>
    <n v="0.99222222222222223"/>
    <n v="94.543981481481467"/>
    <n v="2.6875699888017916E-2"/>
  </r>
  <r>
    <s v="2026-06-30"/>
    <x v="0"/>
    <s v="B"/>
    <n v="1050"/>
    <n v="996"/>
    <n v="39"/>
    <n v="19"/>
    <n v="0.96084337349397586"/>
    <n v="0.9604166666666667"/>
    <n v="0.94857142857142862"/>
    <n v="87.535119047619048"/>
    <n v="3.9156626506024098E-2"/>
  </r>
  <r>
    <s v="2026-06-30"/>
    <x v="0"/>
    <s v="C"/>
    <n v="950"/>
    <n v="853"/>
    <n v="33"/>
    <n v="24"/>
    <n v="0.9613130128956624"/>
    <n v="0.95"/>
    <n v="0.8978947368421053"/>
    <n v="82"/>
    <n v="3.8686987104337635E-2"/>
  </r>
  <r>
    <s v="2026-06-30"/>
    <x v="1"/>
    <s v="A"/>
    <n v="900"/>
    <n v="792"/>
    <n v="37"/>
    <n v="10"/>
    <n v="0.95328282828282829"/>
    <n v="0.97916666666666663"/>
    <n v="0.88"/>
    <n v="82.141203703703695"/>
    <n v="4.671717171717172E-2"/>
  </r>
  <r>
    <s v="2026-06-30"/>
    <x v="1"/>
    <s v="B"/>
    <n v="900"/>
    <n v="801"/>
    <n v="6"/>
    <n v="2"/>
    <n v="0.99250936329588013"/>
    <n v="0.99583333333333335"/>
    <n v="0.89"/>
    <n v="87.965277777777771"/>
    <n v="7.4906367041198503E-3"/>
  </r>
  <r>
    <s v="2026-06-30"/>
    <x v="1"/>
    <s v="C"/>
    <n v="1000"/>
    <n v="926"/>
    <n v="14"/>
    <n v="49"/>
    <n v="0.98488120950323976"/>
    <n v="0.8979166666666667"/>
    <n v="0.92600000000000005"/>
    <n v="81.89"/>
    <n v="1.511879049676026E-2"/>
  </r>
  <r>
    <s v="2026-06-30"/>
    <x v="2"/>
    <s v="A"/>
    <n v="1000"/>
    <n v="915"/>
    <n v="21"/>
    <n v="23"/>
    <n v="0.9770491803278688"/>
    <n v="0.95208333333333328"/>
    <n v="0.91500000000000004"/>
    <n v="85.116249999999994"/>
    <n v="2.2950819672131147E-2"/>
  </r>
  <r>
    <s v="2026-06-30"/>
    <x v="2"/>
    <s v="B"/>
    <n v="900"/>
    <n v="792"/>
    <n v="25"/>
    <n v="29"/>
    <n v="0.96843434343434343"/>
    <n v="0.93958333333333333"/>
    <n v="0.88"/>
    <n v="80.073379629629642"/>
    <n v="3.1565656565656568E-2"/>
  </r>
  <r>
    <s v="2026-06-30"/>
    <x v="2"/>
    <s v="C"/>
    <n v="900"/>
    <n v="857"/>
    <n v="23"/>
    <n v="30"/>
    <n v="0.97316219369894985"/>
    <n v="0.9375"/>
    <n v="0.95222222222222219"/>
    <n v="86.874999999999986"/>
    <n v="2.6837806301050177E-2"/>
  </r>
  <r>
    <m/>
    <x v="3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F26079-46D9-421A-A7D6-B0D80E45C6B6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showHeaders="0" outline="1" outlineData="1" multipleFieldFilters="0" chartFormat="26">
  <location ref="A3:B7" firstHeaderRow="1" firstDataRow="1" firstDataCol="1"/>
  <pivotFields count="12">
    <pivotField showAll="0"/>
    <pivotField axis="axisRow" showAll="0">
      <items count="5">
        <item x="0"/>
        <item x="1"/>
        <item x="2"/>
        <item n="0"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OEE" fld="10" subtotal="average" baseField="1" baseItem="0" numFmtId="165"/>
  </dataFields>
  <formats count="7"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1" type="button" dataOnly="0" labelOnly="1" outline="0" axis="axisRow" fieldPosition="0"/>
    </format>
    <format dxfId="24">
      <pivotArea dataOnly="0" labelOnly="1" fieldPosition="0">
        <references count="1">
          <reference field="1" count="0"/>
        </references>
      </pivotArea>
    </format>
    <format dxfId="23">
      <pivotArea dataOnly="0" labelOnly="1" grandRow="1" outline="0" fieldPosition="0"/>
    </format>
    <format dxfId="22">
      <pivotArea dataOnly="0" labelOnly="1" outline="0" axis="axisValues" fieldPosition="0"/>
    </format>
    <format dxfId="21">
      <pivotArea outline="0" collapsedLevelsAreSubtotals="1" fieldPosition="0"/>
    </format>
  </formats>
  <chartFormats count="3">
    <chartFormat chart="1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C274F6-7982-4FE6-B629-A74FE286B4AE}" name="PivotTable4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3:B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Scrap Rate" fld="1" subtotal="average" baseField="0" baseItem="0" numFmtId="164"/>
  </dataFields>
  <formats count="11">
    <format dxfId="20">
      <pivotArea collapsedLevelsAreSubtotals="1" fieldPosition="0">
        <references count="1">
          <reference field="0" count="0"/>
        </references>
      </pivotArea>
    </format>
    <format dxfId="19">
      <pivotArea field="0" type="button" dataOnly="0" labelOnly="1" outline="0" axis="axisRow" fieldPosition="0"/>
    </format>
    <format dxfId="18">
      <pivotArea dataOnly="0" labelOnly="1" fieldPosition="0">
        <references count="1">
          <reference field="0" count="0"/>
        </references>
      </pivotArea>
    </format>
    <format dxfId="17">
      <pivotArea dataOnly="0" labelOnly="1" outline="0" axis="axisValues" fieldPosition="0"/>
    </format>
    <format dxfId="16">
      <pivotArea grandRow="1" outline="0" collapsedLevelsAreSubtotals="1" fieldPosition="0"/>
    </format>
    <format dxfId="15">
      <pivotArea dataOnly="0" labelOnly="1" grandRow="1" outline="0" fieldPosition="0"/>
    </format>
    <format dxfId="14">
      <pivotArea collapsedLevelsAreSubtotals="1" fieldPosition="0">
        <references count="1">
          <reference field="0" count="1">
            <x v="0"/>
          </reference>
        </references>
      </pivotArea>
    </format>
    <format dxfId="13">
      <pivotArea collapsedLevelsAreSubtotals="1" fieldPosition="0">
        <references count="1">
          <reference field="0" count="1">
            <x v="1"/>
          </reference>
        </references>
      </pivotArea>
    </format>
    <format dxfId="12">
      <pivotArea collapsedLevelsAreSubtotals="1" fieldPosition="0">
        <references count="1">
          <reference field="0" count="1">
            <x v="2"/>
          </reference>
        </references>
      </pivotArea>
    </format>
    <format dxfId="11">
      <pivotArea grandRow="1" outline="0" collapsedLevelsAreSubtotals="1" fieldPosition="0"/>
    </format>
    <format dxfId="10">
      <pivotArea outline="0" collapsedLevelsAreSubtotals="1" fieldPosition="0"/>
    </format>
  </formats>
  <chartFormats count="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Sum of Scrap Rate"/>
    <pivotHierarchy dragToData="1" caption="Average of Scrap Rate"/>
    <pivotHierarchy dragToData="1" caption="Count of Scrap Rate"/>
    <pivotHierarchy dragToData="1" caption="Max of Scrap Rate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duction_Data!$A:$L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A1F9CC-D679-4577-A1CD-69A77D76F779}" name="PivotTable6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34" firstHeaderRow="1" firstDataRow="1" firstDataCol="1"/>
  <pivotFields count="2">
    <pivotField axis="axisRow" allDrilled="1" subtotalTop="0" showAll="0" dataSourceSort="1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dataField="1" subtotalTop="0" showAll="0" defaultSubtotal="0"/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Sum of Actual Production" fld="1" baseField="0" baseItem="0"/>
  </dataFields>
  <formats count="6">
    <format dxfId="9">
      <pivotArea type="all" dataOnly="0" outline="0" fieldPosition="0"/>
    </format>
    <format dxfId="8">
      <pivotArea outline="0" collapsedLevelsAreSubtotals="1" fieldPosition="0"/>
    </format>
    <format dxfId="7">
      <pivotArea field="0" type="button" dataOnly="0" labelOnly="1" outline="0" axis="axisRow" fieldPosition="0"/>
    </format>
    <format dxfId="6">
      <pivotArea dataOnly="0" labelOnly="1" fieldPosition="0">
        <references count="1">
          <reference field="0" count="0"/>
        </references>
      </pivotArea>
    </format>
    <format dxfId="5">
      <pivotArea dataOnly="0" labelOnly="1" grandRow="1" outline="0" fieldPosition="0"/>
    </format>
    <format dxfId="4">
      <pivotArea dataOnly="0" labelOnly="1" outline="0" axis="axisValues" fieldPosition="0"/>
    </format>
  </formats>
  <chartFormats count="1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duction_Data!$A:$L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A0C6EA-173B-408E-BE25-ECC0C04D90FC}" name="PivotTable6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Downtime (min)" fld="0" baseField="0" baseItem="0"/>
  </dataFields>
  <formats count="4">
    <format dxfId="3">
      <pivotArea type="all" dataOnly="0" outline="0" fieldPosition="0"/>
    </format>
    <format dxfId="2">
      <pivotArea outline="0" collapsedLevelsAreSubtotals="1" fieldPosition="0"/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duction_Data!$A:$L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Gallery">
  <a:themeElements>
    <a:clrScheme name="Red Orange">
      <a:dk1>
        <a:sysClr val="windowText" lastClr="000000"/>
      </a:dk1>
      <a:lt1>
        <a:sysClr val="window" lastClr="FFFFFF"/>
      </a:lt1>
      <a:dk2>
        <a:srgbClr val="505046"/>
      </a:dk2>
      <a:lt2>
        <a:srgbClr val="EEECE1"/>
      </a:lt2>
      <a:accent1>
        <a:srgbClr val="E84C22"/>
      </a:accent1>
      <a:accent2>
        <a:srgbClr val="FFBD47"/>
      </a:accent2>
      <a:accent3>
        <a:srgbClr val="B64926"/>
      </a:accent3>
      <a:accent4>
        <a:srgbClr val="FF8427"/>
      </a:accent4>
      <a:accent5>
        <a:srgbClr val="CC9900"/>
      </a:accent5>
      <a:accent6>
        <a:srgbClr val="B22600"/>
      </a:accent6>
      <a:hlink>
        <a:srgbClr val="CC9900"/>
      </a:hlink>
      <a:folHlink>
        <a:srgbClr val="666699"/>
      </a:folHlink>
    </a:clrScheme>
    <a:fontScheme name="Gallery">
      <a:majorFont>
        <a:latin typeface="Gill Sans MT" panose="020B0502020104020203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Gallery">
      <a:fillStyleLst>
        <a:solidFill>
          <a:schemeClr val="phClr"/>
        </a:solidFill>
        <a:gradFill rotWithShape="1">
          <a:gsLst>
            <a:gs pos="0">
              <a:schemeClr val="phClr">
                <a:tint val="54000"/>
                <a:alpha val="100000"/>
                <a:satMod val="105000"/>
                <a:lumMod val="110000"/>
              </a:schemeClr>
            </a:gs>
            <a:gs pos="100000">
              <a:schemeClr val="phClr">
                <a:tint val="78000"/>
                <a:alpha val="92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satMod val="110000"/>
                <a:lumMod val="104000"/>
              </a:schemeClr>
            </a:gs>
            <a:gs pos="69000">
              <a:schemeClr val="phClr">
                <a:shade val="88000"/>
                <a:satMod val="130000"/>
                <a:lumMod val="92000"/>
              </a:schemeClr>
            </a:gs>
            <a:gs pos="100000">
              <a:schemeClr val="phClr">
                <a:shade val="78000"/>
                <a:satMod val="130000"/>
                <a:lumMod val="92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a:effectStyle>
      </a:effectStyleLst>
      <a:bgFillStyleLst>
        <a:solidFill>
          <a:schemeClr val="phClr"/>
        </a:solidFill>
        <a:solidFill>
          <a:schemeClr val="phClr"/>
        </a:solidFill>
        <a:gradFill rotWithShape="1">
          <a:gsLst>
            <a:gs pos="0">
              <a:schemeClr val="phClr">
                <a:tint val="94000"/>
                <a:satMod val="80000"/>
                <a:lumMod val="106000"/>
              </a:schemeClr>
            </a:gs>
            <a:gs pos="100000">
              <a:schemeClr val="phClr">
                <a:shade val="8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Gallery" id="{BBFCD31E-59A1-489D-B089-A3EAD7CAE12E}" vid="{F5E91637-A7B6-4E27-B710-77DA7014EE1E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1"/>
  <sheetViews>
    <sheetView workbookViewId="0">
      <selection activeCell="K1" sqref="K1"/>
    </sheetView>
  </sheetViews>
  <sheetFormatPr defaultRowHeight="17.25" x14ac:dyDescent="0.35"/>
  <cols>
    <col min="1" max="1" width="13" customWidth="1"/>
    <col min="2" max="2" width="10" customWidth="1"/>
    <col min="4" max="4" width="20" customWidth="1"/>
    <col min="5" max="5" width="17.625" customWidth="1"/>
    <col min="6" max="6" width="15.875" customWidth="1"/>
    <col min="7" max="7" width="15.375" customWidth="1"/>
    <col min="8" max="8" width="14" customWidth="1"/>
    <col min="9" max="9" width="11.375" customWidth="1"/>
    <col min="10" max="10" width="12.875" customWidth="1"/>
    <col min="12" max="12" width="11.625" style="9" customWidth="1"/>
  </cols>
  <sheetData>
    <row r="1" spans="1:12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43</v>
      </c>
      <c r="I1" s="4" t="s">
        <v>44</v>
      </c>
      <c r="J1" s="4" t="s">
        <v>45</v>
      </c>
      <c r="K1" s="4" t="s">
        <v>46</v>
      </c>
      <c r="L1" s="7" t="s">
        <v>50</v>
      </c>
    </row>
    <row r="2" spans="1:12" x14ac:dyDescent="0.35">
      <c r="A2" s="2" t="s">
        <v>7</v>
      </c>
      <c r="B2" s="2" t="s">
        <v>8</v>
      </c>
      <c r="C2" s="2" t="s">
        <v>9</v>
      </c>
      <c r="D2" s="2">
        <v>900</v>
      </c>
      <c r="E2" s="2">
        <v>824</v>
      </c>
      <c r="F2" s="2">
        <v>26</v>
      </c>
      <c r="G2" s="2">
        <v>14</v>
      </c>
      <c r="H2" s="2">
        <f>(E2-F2)/E2</f>
        <v>0.96844660194174759</v>
      </c>
      <c r="I2" s="2">
        <f>(480-G2)/480</f>
        <v>0.97083333333333333</v>
      </c>
      <c r="J2" s="2">
        <f>(E2/D2)</f>
        <v>0.91555555555555557</v>
      </c>
      <c r="K2" s="2">
        <f>(H2*I2*J2) *100</f>
        <v>86.080555555555563</v>
      </c>
      <c r="L2" s="8">
        <f>(F2/E2)</f>
        <v>3.1553398058252427E-2</v>
      </c>
    </row>
    <row r="3" spans="1:12" x14ac:dyDescent="0.35">
      <c r="A3" s="2" t="s">
        <v>7</v>
      </c>
      <c r="B3" s="2" t="s">
        <v>8</v>
      </c>
      <c r="C3" s="2" t="s">
        <v>10</v>
      </c>
      <c r="D3" s="2">
        <v>900</v>
      </c>
      <c r="E3" s="2">
        <v>883</v>
      </c>
      <c r="F3" s="2">
        <v>27</v>
      </c>
      <c r="G3" s="2">
        <v>25</v>
      </c>
      <c r="H3" s="2">
        <f t="shared" ref="H3:H66" si="0">(E3-F3)/E3</f>
        <v>0.9694224235560589</v>
      </c>
      <c r="I3" s="2">
        <f t="shared" ref="I3:I66" si="1">(480-G3)/480</f>
        <v>0.94791666666666663</v>
      </c>
      <c r="J3" s="2">
        <f>(E3/D3)</f>
        <v>0.98111111111111116</v>
      </c>
      <c r="K3" s="2">
        <f>(H3*I3*J3) *100</f>
        <v>90.157407407407405</v>
      </c>
      <c r="L3" s="8">
        <f t="shared" ref="L3:L66" si="2">(F3/E3)</f>
        <v>3.0577576443941108E-2</v>
      </c>
    </row>
    <row r="4" spans="1:12" x14ac:dyDescent="0.35">
      <c r="A4" s="2" t="s">
        <v>7</v>
      </c>
      <c r="B4" s="2" t="s">
        <v>8</v>
      </c>
      <c r="C4" s="2" t="s">
        <v>11</v>
      </c>
      <c r="D4" s="2">
        <v>900</v>
      </c>
      <c r="E4" s="2">
        <v>834</v>
      </c>
      <c r="F4" s="2">
        <v>18</v>
      </c>
      <c r="G4" s="2">
        <v>29</v>
      </c>
      <c r="H4" s="2">
        <f t="shared" si="0"/>
        <v>0.97841726618705038</v>
      </c>
      <c r="I4" s="2">
        <f t="shared" si="1"/>
        <v>0.93958333333333333</v>
      </c>
      <c r="J4" s="2">
        <f t="shared" ref="J4:J27" si="3">(E4/D4)</f>
        <v>0.92666666666666664</v>
      </c>
      <c r="K4" s="2">
        <f t="shared" ref="K4:K27" si="4">(H4*I4*J4) *100</f>
        <v>85.188888888888883</v>
      </c>
      <c r="L4" s="8">
        <f t="shared" si="2"/>
        <v>2.1582733812949641E-2</v>
      </c>
    </row>
    <row r="5" spans="1:12" x14ac:dyDescent="0.35">
      <c r="A5" s="2" t="s">
        <v>7</v>
      </c>
      <c r="B5" s="2" t="s">
        <v>12</v>
      </c>
      <c r="C5" s="2" t="s">
        <v>9</v>
      </c>
      <c r="D5" s="2">
        <v>1050</v>
      </c>
      <c r="E5" s="2">
        <v>1006</v>
      </c>
      <c r="F5" s="2">
        <v>37</v>
      </c>
      <c r="G5" s="2">
        <v>2</v>
      </c>
      <c r="H5" s="2">
        <f t="shared" si="0"/>
        <v>0.96322067594433403</v>
      </c>
      <c r="I5" s="2">
        <f t="shared" si="1"/>
        <v>0.99583333333333335</v>
      </c>
      <c r="J5" s="2">
        <f t="shared" si="3"/>
        <v>0.95809523809523811</v>
      </c>
      <c r="K5" s="2">
        <f t="shared" si="4"/>
        <v>91.901190476190479</v>
      </c>
      <c r="L5" s="8">
        <f t="shared" si="2"/>
        <v>3.6779324055666002E-2</v>
      </c>
    </row>
    <row r="6" spans="1:12" x14ac:dyDescent="0.35">
      <c r="A6" s="2" t="s">
        <v>7</v>
      </c>
      <c r="B6" s="2" t="s">
        <v>12</v>
      </c>
      <c r="C6" s="2" t="s">
        <v>10</v>
      </c>
      <c r="D6" s="2">
        <v>1000</v>
      </c>
      <c r="E6" s="2">
        <v>928</v>
      </c>
      <c r="F6" s="2">
        <v>35</v>
      </c>
      <c r="G6" s="2">
        <v>2</v>
      </c>
      <c r="H6" s="2">
        <f t="shared" si="0"/>
        <v>0.96228448275862066</v>
      </c>
      <c r="I6" s="2">
        <f t="shared" si="1"/>
        <v>0.99583333333333335</v>
      </c>
      <c r="J6" s="2">
        <f t="shared" si="3"/>
        <v>0.92800000000000005</v>
      </c>
      <c r="K6" s="2">
        <f t="shared" si="4"/>
        <v>88.927916666666675</v>
      </c>
      <c r="L6" s="8">
        <f t="shared" si="2"/>
        <v>3.7715517241379309E-2</v>
      </c>
    </row>
    <row r="7" spans="1:12" x14ac:dyDescent="0.35">
      <c r="A7" s="2" t="s">
        <v>7</v>
      </c>
      <c r="B7" s="2" t="s">
        <v>12</v>
      </c>
      <c r="C7" s="2" t="s">
        <v>11</v>
      </c>
      <c r="D7" s="2">
        <v>1000</v>
      </c>
      <c r="E7" s="2">
        <v>972</v>
      </c>
      <c r="F7" s="2">
        <v>7</v>
      </c>
      <c r="G7" s="2">
        <v>28</v>
      </c>
      <c r="H7" s="2">
        <f t="shared" si="0"/>
        <v>0.99279835390946503</v>
      </c>
      <c r="I7" s="2">
        <f t="shared" si="1"/>
        <v>0.94166666666666665</v>
      </c>
      <c r="J7" s="2">
        <f t="shared" si="3"/>
        <v>0.97199999999999998</v>
      </c>
      <c r="K7" s="2">
        <f t="shared" si="4"/>
        <v>90.870833333333337</v>
      </c>
      <c r="L7" s="8">
        <f t="shared" si="2"/>
        <v>7.2016460905349796E-3</v>
      </c>
    </row>
    <row r="8" spans="1:12" x14ac:dyDescent="0.35">
      <c r="A8" s="2" t="s">
        <v>7</v>
      </c>
      <c r="B8" s="2" t="s">
        <v>13</v>
      </c>
      <c r="C8" s="2" t="s">
        <v>9</v>
      </c>
      <c r="D8" s="2">
        <v>900</v>
      </c>
      <c r="E8" s="2">
        <v>784</v>
      </c>
      <c r="F8" s="2">
        <v>10</v>
      </c>
      <c r="G8" s="2">
        <v>7</v>
      </c>
      <c r="H8" s="2">
        <f t="shared" si="0"/>
        <v>0.98724489795918369</v>
      </c>
      <c r="I8" s="2">
        <f t="shared" si="1"/>
        <v>0.98541666666666672</v>
      </c>
      <c r="J8" s="2">
        <f t="shared" si="3"/>
        <v>0.87111111111111106</v>
      </c>
      <c r="K8" s="2">
        <f t="shared" si="4"/>
        <v>84.745833333333337</v>
      </c>
      <c r="L8" s="8">
        <f t="shared" si="2"/>
        <v>1.2755102040816327E-2</v>
      </c>
    </row>
    <row r="9" spans="1:12" x14ac:dyDescent="0.35">
      <c r="A9" s="2" t="s">
        <v>7</v>
      </c>
      <c r="B9" s="2" t="s">
        <v>13</v>
      </c>
      <c r="C9" s="2" t="s">
        <v>10</v>
      </c>
      <c r="D9" s="2">
        <v>1050</v>
      </c>
      <c r="E9" s="2">
        <v>989</v>
      </c>
      <c r="F9" s="2">
        <v>31</v>
      </c>
      <c r="G9" s="2">
        <v>12</v>
      </c>
      <c r="H9" s="2">
        <f t="shared" si="0"/>
        <v>0.96865520728008092</v>
      </c>
      <c r="I9" s="2">
        <f t="shared" si="1"/>
        <v>0.97499999999999998</v>
      </c>
      <c r="J9" s="2">
        <f t="shared" si="3"/>
        <v>0.94190476190476191</v>
      </c>
      <c r="K9" s="2">
        <f t="shared" si="4"/>
        <v>88.957142857142856</v>
      </c>
      <c r="L9" s="8">
        <f t="shared" si="2"/>
        <v>3.1344792719919107E-2</v>
      </c>
    </row>
    <row r="10" spans="1:12" x14ac:dyDescent="0.35">
      <c r="A10" s="2" t="s">
        <v>7</v>
      </c>
      <c r="B10" s="2" t="s">
        <v>13</v>
      </c>
      <c r="C10" s="2" t="s">
        <v>11</v>
      </c>
      <c r="D10" s="2">
        <v>1100</v>
      </c>
      <c r="E10" s="2">
        <v>1086</v>
      </c>
      <c r="F10" s="2">
        <v>19</v>
      </c>
      <c r="G10" s="2">
        <v>54</v>
      </c>
      <c r="H10" s="2">
        <f t="shared" si="0"/>
        <v>0.98250460405156537</v>
      </c>
      <c r="I10" s="2">
        <f t="shared" si="1"/>
        <v>0.88749999999999996</v>
      </c>
      <c r="J10" s="2">
        <f t="shared" si="3"/>
        <v>0.9872727272727273</v>
      </c>
      <c r="K10" s="2">
        <f t="shared" si="4"/>
        <v>86.087500000000006</v>
      </c>
      <c r="L10" s="8">
        <f t="shared" si="2"/>
        <v>1.7495395948434623E-2</v>
      </c>
    </row>
    <row r="11" spans="1:12" x14ac:dyDescent="0.35">
      <c r="A11" s="2" t="s">
        <v>14</v>
      </c>
      <c r="B11" s="2" t="s">
        <v>8</v>
      </c>
      <c r="C11" s="2" t="s">
        <v>9</v>
      </c>
      <c r="D11" s="2">
        <v>1000</v>
      </c>
      <c r="E11" s="2">
        <v>980</v>
      </c>
      <c r="F11" s="2">
        <v>12</v>
      </c>
      <c r="G11" s="2">
        <v>48</v>
      </c>
      <c r="H11" s="2">
        <f t="shared" si="0"/>
        <v>0.98775510204081629</v>
      </c>
      <c r="I11" s="2">
        <f t="shared" si="1"/>
        <v>0.9</v>
      </c>
      <c r="J11" s="2">
        <f t="shared" si="3"/>
        <v>0.98</v>
      </c>
      <c r="K11" s="2">
        <f t="shared" si="4"/>
        <v>87.12</v>
      </c>
      <c r="L11" s="8">
        <f t="shared" si="2"/>
        <v>1.2244897959183673E-2</v>
      </c>
    </row>
    <row r="12" spans="1:12" x14ac:dyDescent="0.35">
      <c r="A12" s="2" t="s">
        <v>14</v>
      </c>
      <c r="B12" s="2" t="s">
        <v>8</v>
      </c>
      <c r="C12" s="2" t="s">
        <v>10</v>
      </c>
      <c r="D12" s="2">
        <v>900</v>
      </c>
      <c r="E12" s="2">
        <v>852</v>
      </c>
      <c r="F12" s="2">
        <v>18</v>
      </c>
      <c r="G12" s="2">
        <v>4</v>
      </c>
      <c r="H12" s="2">
        <f t="shared" si="0"/>
        <v>0.97887323943661975</v>
      </c>
      <c r="I12" s="2">
        <f t="shared" si="1"/>
        <v>0.9916666666666667</v>
      </c>
      <c r="J12" s="2">
        <f t="shared" si="3"/>
        <v>0.94666666666666666</v>
      </c>
      <c r="K12" s="2">
        <f t="shared" si="4"/>
        <v>91.89444444444446</v>
      </c>
      <c r="L12" s="8">
        <f t="shared" si="2"/>
        <v>2.1126760563380281E-2</v>
      </c>
    </row>
    <row r="13" spans="1:12" x14ac:dyDescent="0.35">
      <c r="A13" s="2" t="s">
        <v>14</v>
      </c>
      <c r="B13" s="2" t="s">
        <v>8</v>
      </c>
      <c r="C13" s="2" t="s">
        <v>11</v>
      </c>
      <c r="D13" s="2">
        <v>1100</v>
      </c>
      <c r="E13" s="2">
        <v>1041</v>
      </c>
      <c r="F13" s="2">
        <v>40</v>
      </c>
      <c r="G13" s="2">
        <v>15</v>
      </c>
      <c r="H13" s="2">
        <f t="shared" si="0"/>
        <v>0.96157540826128718</v>
      </c>
      <c r="I13" s="2">
        <f t="shared" si="1"/>
        <v>0.96875</v>
      </c>
      <c r="J13" s="2">
        <f t="shared" si="3"/>
        <v>0.94636363636363641</v>
      </c>
      <c r="K13" s="2">
        <f t="shared" si="4"/>
        <v>88.15625</v>
      </c>
      <c r="L13" s="8">
        <f t="shared" si="2"/>
        <v>3.8424591738712779E-2</v>
      </c>
    </row>
    <row r="14" spans="1:12" x14ac:dyDescent="0.35">
      <c r="A14" s="2" t="s">
        <v>14</v>
      </c>
      <c r="B14" s="2" t="s">
        <v>12</v>
      </c>
      <c r="C14" s="2" t="s">
        <v>9</v>
      </c>
      <c r="D14" s="2">
        <v>1050</v>
      </c>
      <c r="E14" s="2">
        <v>935</v>
      </c>
      <c r="F14" s="2">
        <v>36</v>
      </c>
      <c r="G14" s="2">
        <v>9</v>
      </c>
      <c r="H14" s="2">
        <f t="shared" si="0"/>
        <v>0.9614973262032086</v>
      </c>
      <c r="I14" s="2">
        <f t="shared" si="1"/>
        <v>0.98124999999999996</v>
      </c>
      <c r="J14" s="2">
        <f t="shared" si="3"/>
        <v>0.89047619047619042</v>
      </c>
      <c r="K14" s="2">
        <f t="shared" si="4"/>
        <v>84.013690476190476</v>
      </c>
      <c r="L14" s="8">
        <f t="shared" si="2"/>
        <v>3.8502673796791446E-2</v>
      </c>
    </row>
    <row r="15" spans="1:12" x14ac:dyDescent="0.35">
      <c r="A15" s="2" t="s">
        <v>14</v>
      </c>
      <c r="B15" s="2" t="s">
        <v>12</v>
      </c>
      <c r="C15" s="2" t="s">
        <v>10</v>
      </c>
      <c r="D15" s="2">
        <v>900</v>
      </c>
      <c r="E15" s="2">
        <v>900</v>
      </c>
      <c r="F15" s="2">
        <v>45</v>
      </c>
      <c r="G15" s="2">
        <v>5</v>
      </c>
      <c r="H15" s="2">
        <f t="shared" si="0"/>
        <v>0.95</v>
      </c>
      <c r="I15" s="2">
        <f t="shared" si="1"/>
        <v>0.98958333333333337</v>
      </c>
      <c r="J15" s="2">
        <f t="shared" si="3"/>
        <v>1</v>
      </c>
      <c r="K15" s="2">
        <f t="shared" si="4"/>
        <v>94.010416666666657</v>
      </c>
      <c r="L15" s="8">
        <f t="shared" si="2"/>
        <v>0.05</v>
      </c>
    </row>
    <row r="16" spans="1:12" x14ac:dyDescent="0.35">
      <c r="A16" s="2" t="s">
        <v>14</v>
      </c>
      <c r="B16" s="2" t="s">
        <v>12</v>
      </c>
      <c r="C16" s="2" t="s">
        <v>11</v>
      </c>
      <c r="D16" s="2">
        <v>950</v>
      </c>
      <c r="E16" s="2">
        <v>920</v>
      </c>
      <c r="F16" s="2">
        <v>22</v>
      </c>
      <c r="G16" s="2">
        <v>54</v>
      </c>
      <c r="H16" s="2">
        <f t="shared" si="0"/>
        <v>0.97608695652173916</v>
      </c>
      <c r="I16" s="2">
        <f t="shared" si="1"/>
        <v>0.88749999999999996</v>
      </c>
      <c r="J16" s="2">
        <f t="shared" si="3"/>
        <v>0.96842105263157896</v>
      </c>
      <c r="K16" s="2">
        <f t="shared" si="4"/>
        <v>83.892105263157902</v>
      </c>
      <c r="L16" s="8">
        <f t="shared" si="2"/>
        <v>2.391304347826087E-2</v>
      </c>
    </row>
    <row r="17" spans="1:12" x14ac:dyDescent="0.35">
      <c r="A17" s="2" t="s">
        <v>14</v>
      </c>
      <c r="B17" s="2" t="s">
        <v>13</v>
      </c>
      <c r="C17" s="2" t="s">
        <v>9</v>
      </c>
      <c r="D17" s="2">
        <v>1050</v>
      </c>
      <c r="E17" s="2">
        <v>976</v>
      </c>
      <c r="F17" s="2">
        <v>46</v>
      </c>
      <c r="G17" s="2">
        <v>37</v>
      </c>
      <c r="H17" s="2">
        <f t="shared" si="0"/>
        <v>0.95286885245901642</v>
      </c>
      <c r="I17" s="2">
        <f t="shared" si="1"/>
        <v>0.92291666666666672</v>
      </c>
      <c r="J17" s="2">
        <f t="shared" si="3"/>
        <v>0.92952380952380953</v>
      </c>
      <c r="K17" s="2">
        <f t="shared" si="4"/>
        <v>81.74404761904762</v>
      </c>
      <c r="L17" s="8">
        <f t="shared" si="2"/>
        <v>4.7131147540983603E-2</v>
      </c>
    </row>
    <row r="18" spans="1:12" x14ac:dyDescent="0.35">
      <c r="A18" s="2" t="s">
        <v>14</v>
      </c>
      <c r="B18" s="2" t="s">
        <v>13</v>
      </c>
      <c r="C18" s="2" t="s">
        <v>10</v>
      </c>
      <c r="D18" s="2">
        <v>900</v>
      </c>
      <c r="E18" s="2">
        <v>796</v>
      </c>
      <c r="F18" s="2">
        <v>8</v>
      </c>
      <c r="G18" s="2">
        <v>52</v>
      </c>
      <c r="H18" s="2">
        <f t="shared" si="0"/>
        <v>0.98994974874371855</v>
      </c>
      <c r="I18" s="2">
        <f t="shared" si="1"/>
        <v>0.89166666666666672</v>
      </c>
      <c r="J18" s="2">
        <f t="shared" si="3"/>
        <v>0.88444444444444448</v>
      </c>
      <c r="K18" s="2">
        <f t="shared" si="4"/>
        <v>78.07037037037037</v>
      </c>
      <c r="L18" s="8">
        <f t="shared" si="2"/>
        <v>1.0050251256281407E-2</v>
      </c>
    </row>
    <row r="19" spans="1:12" x14ac:dyDescent="0.35">
      <c r="A19" s="2" t="s">
        <v>14</v>
      </c>
      <c r="B19" s="2" t="s">
        <v>13</v>
      </c>
      <c r="C19" s="2" t="s">
        <v>11</v>
      </c>
      <c r="D19" s="2">
        <v>1100</v>
      </c>
      <c r="E19" s="2">
        <v>1017</v>
      </c>
      <c r="F19" s="2">
        <v>47</v>
      </c>
      <c r="G19" s="2">
        <v>51</v>
      </c>
      <c r="H19" s="2">
        <f t="shared" si="0"/>
        <v>0.95378564405113075</v>
      </c>
      <c r="I19" s="2">
        <f t="shared" si="1"/>
        <v>0.89375000000000004</v>
      </c>
      <c r="J19" s="2">
        <f t="shared" si="3"/>
        <v>0.92454545454545456</v>
      </c>
      <c r="K19" s="2">
        <f t="shared" si="4"/>
        <v>78.8125</v>
      </c>
      <c r="L19" s="8">
        <f t="shared" si="2"/>
        <v>4.6214355948869225E-2</v>
      </c>
    </row>
    <row r="20" spans="1:12" x14ac:dyDescent="0.35">
      <c r="A20" s="2" t="s">
        <v>15</v>
      </c>
      <c r="B20" s="2" t="s">
        <v>8</v>
      </c>
      <c r="C20" s="2" t="s">
        <v>9</v>
      </c>
      <c r="D20" s="2">
        <v>1000</v>
      </c>
      <c r="E20" s="2">
        <v>884</v>
      </c>
      <c r="F20" s="2">
        <v>27</v>
      </c>
      <c r="G20" s="2">
        <v>33</v>
      </c>
      <c r="H20" s="2">
        <f t="shared" si="0"/>
        <v>0.96945701357466063</v>
      </c>
      <c r="I20" s="2">
        <f t="shared" si="1"/>
        <v>0.93125000000000002</v>
      </c>
      <c r="J20" s="2">
        <f t="shared" si="3"/>
        <v>0.88400000000000001</v>
      </c>
      <c r="K20" s="2">
        <f t="shared" si="4"/>
        <v>79.808125000000004</v>
      </c>
      <c r="L20" s="8">
        <f t="shared" si="2"/>
        <v>3.0542986425339366E-2</v>
      </c>
    </row>
    <row r="21" spans="1:12" x14ac:dyDescent="0.35">
      <c r="A21" s="2" t="s">
        <v>15</v>
      </c>
      <c r="B21" s="2" t="s">
        <v>8</v>
      </c>
      <c r="C21" s="2" t="s">
        <v>10</v>
      </c>
      <c r="D21" s="2">
        <v>1000</v>
      </c>
      <c r="E21" s="2">
        <v>893</v>
      </c>
      <c r="F21" s="2">
        <v>19</v>
      </c>
      <c r="G21" s="2">
        <v>15</v>
      </c>
      <c r="H21" s="2">
        <f t="shared" si="0"/>
        <v>0.97872340425531912</v>
      </c>
      <c r="I21" s="2">
        <f t="shared" si="1"/>
        <v>0.96875</v>
      </c>
      <c r="J21" s="2">
        <f t="shared" si="3"/>
        <v>0.89300000000000002</v>
      </c>
      <c r="K21" s="2">
        <f t="shared" si="4"/>
        <v>84.668749999999989</v>
      </c>
      <c r="L21" s="8">
        <f t="shared" si="2"/>
        <v>2.1276595744680851E-2</v>
      </c>
    </row>
    <row r="22" spans="1:12" x14ac:dyDescent="0.35">
      <c r="A22" s="2" t="s">
        <v>15</v>
      </c>
      <c r="B22" s="2" t="s">
        <v>8</v>
      </c>
      <c r="C22" s="2" t="s">
        <v>11</v>
      </c>
      <c r="D22" s="2">
        <v>1050</v>
      </c>
      <c r="E22" s="2">
        <v>967</v>
      </c>
      <c r="F22" s="2">
        <v>7</v>
      </c>
      <c r="G22" s="2">
        <v>55</v>
      </c>
      <c r="H22" s="2">
        <f t="shared" si="0"/>
        <v>0.99276111685625645</v>
      </c>
      <c r="I22" s="2">
        <f t="shared" si="1"/>
        <v>0.88541666666666663</v>
      </c>
      <c r="J22" s="2">
        <f t="shared" si="3"/>
        <v>0.92095238095238097</v>
      </c>
      <c r="K22" s="2">
        <f t="shared" si="4"/>
        <v>80.952380952380949</v>
      </c>
      <c r="L22" s="8">
        <f t="shared" si="2"/>
        <v>7.2388831437435368E-3</v>
      </c>
    </row>
    <row r="23" spans="1:12" x14ac:dyDescent="0.35">
      <c r="A23" s="2" t="s">
        <v>15</v>
      </c>
      <c r="B23" s="2" t="s">
        <v>12</v>
      </c>
      <c r="C23" s="2" t="s">
        <v>9</v>
      </c>
      <c r="D23" s="2">
        <v>1100</v>
      </c>
      <c r="E23" s="2">
        <v>985</v>
      </c>
      <c r="F23" s="2">
        <v>46</v>
      </c>
      <c r="G23" s="2">
        <v>42</v>
      </c>
      <c r="H23" s="2">
        <f t="shared" si="0"/>
        <v>0.95329949238578682</v>
      </c>
      <c r="I23" s="2">
        <f t="shared" si="1"/>
        <v>0.91249999999999998</v>
      </c>
      <c r="J23" s="2">
        <f t="shared" si="3"/>
        <v>0.8954545454545455</v>
      </c>
      <c r="K23" s="2">
        <f t="shared" si="4"/>
        <v>77.894318181818193</v>
      </c>
      <c r="L23" s="8">
        <f t="shared" si="2"/>
        <v>4.6700507614213196E-2</v>
      </c>
    </row>
    <row r="24" spans="1:12" x14ac:dyDescent="0.35">
      <c r="A24" s="2" t="s">
        <v>15</v>
      </c>
      <c r="B24" s="2" t="s">
        <v>12</v>
      </c>
      <c r="C24" s="2" t="s">
        <v>10</v>
      </c>
      <c r="D24" s="2">
        <v>950</v>
      </c>
      <c r="E24" s="2">
        <v>944</v>
      </c>
      <c r="F24" s="2">
        <v>44</v>
      </c>
      <c r="G24" s="2">
        <v>36</v>
      </c>
      <c r="H24" s="2">
        <f t="shared" si="0"/>
        <v>0.95338983050847459</v>
      </c>
      <c r="I24" s="2">
        <f t="shared" si="1"/>
        <v>0.92500000000000004</v>
      </c>
      <c r="J24" s="2">
        <f t="shared" si="3"/>
        <v>0.99368421052631584</v>
      </c>
      <c r="K24" s="2">
        <f t="shared" si="4"/>
        <v>87.631578947368425</v>
      </c>
      <c r="L24" s="8">
        <f t="shared" si="2"/>
        <v>4.6610169491525424E-2</v>
      </c>
    </row>
    <row r="25" spans="1:12" x14ac:dyDescent="0.35">
      <c r="A25" s="2" t="s">
        <v>15</v>
      </c>
      <c r="B25" s="2" t="s">
        <v>12</v>
      </c>
      <c r="C25" s="2" t="s">
        <v>11</v>
      </c>
      <c r="D25" s="2">
        <v>1050</v>
      </c>
      <c r="E25" s="2">
        <v>967</v>
      </c>
      <c r="F25" s="2">
        <v>27</v>
      </c>
      <c r="G25" s="2">
        <v>12</v>
      </c>
      <c r="H25" s="2">
        <f t="shared" si="0"/>
        <v>0.97207859358841775</v>
      </c>
      <c r="I25" s="2">
        <f t="shared" si="1"/>
        <v>0.97499999999999998</v>
      </c>
      <c r="J25" s="2">
        <f t="shared" si="3"/>
        <v>0.92095238095238097</v>
      </c>
      <c r="K25" s="2">
        <f t="shared" si="4"/>
        <v>87.285714285714278</v>
      </c>
      <c r="L25" s="8">
        <f t="shared" si="2"/>
        <v>2.7921406411582212E-2</v>
      </c>
    </row>
    <row r="26" spans="1:12" x14ac:dyDescent="0.35">
      <c r="A26" s="2" t="s">
        <v>15</v>
      </c>
      <c r="B26" s="2" t="s">
        <v>13</v>
      </c>
      <c r="C26" s="2" t="s">
        <v>9</v>
      </c>
      <c r="D26" s="2">
        <v>1050</v>
      </c>
      <c r="E26" s="2">
        <v>1025</v>
      </c>
      <c r="F26" s="2">
        <v>24</v>
      </c>
      <c r="G26" s="2">
        <v>3</v>
      </c>
      <c r="H26" s="2">
        <f t="shared" si="0"/>
        <v>0.97658536585365852</v>
      </c>
      <c r="I26" s="2">
        <f t="shared" si="1"/>
        <v>0.99375000000000002</v>
      </c>
      <c r="J26" s="2">
        <f t="shared" si="3"/>
        <v>0.97619047619047616</v>
      </c>
      <c r="K26" s="2">
        <f t="shared" si="4"/>
        <v>94.737499999999997</v>
      </c>
      <c r="L26" s="8">
        <f t="shared" si="2"/>
        <v>2.3414634146341463E-2</v>
      </c>
    </row>
    <row r="27" spans="1:12" x14ac:dyDescent="0.35">
      <c r="A27" s="2" t="s">
        <v>15</v>
      </c>
      <c r="B27" s="2" t="s">
        <v>13</v>
      </c>
      <c r="C27" s="2" t="s">
        <v>10</v>
      </c>
      <c r="D27" s="2">
        <v>1100</v>
      </c>
      <c r="E27" s="2">
        <v>1033</v>
      </c>
      <c r="F27" s="2">
        <v>10</v>
      </c>
      <c r="G27" s="2">
        <v>36</v>
      </c>
      <c r="H27" s="2">
        <f t="shared" si="0"/>
        <v>0.99031945788964182</v>
      </c>
      <c r="I27" s="2">
        <f t="shared" si="1"/>
        <v>0.92500000000000004</v>
      </c>
      <c r="J27" s="2">
        <f t="shared" si="3"/>
        <v>0.93909090909090909</v>
      </c>
      <c r="K27" s="2">
        <f t="shared" si="4"/>
        <v>86.025000000000006</v>
      </c>
      <c r="L27" s="8">
        <f t="shared" si="2"/>
        <v>9.6805421103581795E-3</v>
      </c>
    </row>
    <row r="28" spans="1:12" x14ac:dyDescent="0.35">
      <c r="A28" s="2" t="s">
        <v>15</v>
      </c>
      <c r="B28" s="2" t="s">
        <v>13</v>
      </c>
      <c r="C28" s="2" t="s">
        <v>11</v>
      </c>
      <c r="D28" s="2">
        <v>950</v>
      </c>
      <c r="E28" s="2">
        <v>932</v>
      </c>
      <c r="F28" s="2">
        <v>7</v>
      </c>
      <c r="G28" s="2">
        <v>14</v>
      </c>
      <c r="H28" s="2">
        <f t="shared" si="0"/>
        <v>0.99248927038626611</v>
      </c>
      <c r="I28" s="2">
        <f t="shared" si="1"/>
        <v>0.97083333333333333</v>
      </c>
      <c r="J28" s="2">
        <f t="shared" ref="J28:J91" si="5">(E28/D28)</f>
        <v>0.9810526315789474</v>
      </c>
      <c r="K28" s="2">
        <f t="shared" ref="K28:K91" si="6">(H28*I28*J28) *100</f>
        <v>94.528508771929822</v>
      </c>
      <c r="L28" s="8">
        <f t="shared" si="2"/>
        <v>7.5107296137339056E-3</v>
      </c>
    </row>
    <row r="29" spans="1:12" x14ac:dyDescent="0.35">
      <c r="A29" s="2" t="s">
        <v>16</v>
      </c>
      <c r="B29" s="2" t="s">
        <v>8</v>
      </c>
      <c r="C29" s="2" t="s">
        <v>9</v>
      </c>
      <c r="D29" s="2">
        <v>900</v>
      </c>
      <c r="E29" s="2">
        <v>829</v>
      </c>
      <c r="F29" s="2">
        <v>16</v>
      </c>
      <c r="G29" s="2">
        <v>53</v>
      </c>
      <c r="H29" s="2">
        <f t="shared" si="0"/>
        <v>0.9806996381182147</v>
      </c>
      <c r="I29" s="2">
        <f t="shared" si="1"/>
        <v>0.88958333333333328</v>
      </c>
      <c r="J29" s="2">
        <f t="shared" si="5"/>
        <v>0.9211111111111111</v>
      </c>
      <c r="K29" s="2">
        <f t="shared" si="6"/>
        <v>80.359027777777769</v>
      </c>
      <c r="L29" s="8">
        <f t="shared" si="2"/>
        <v>1.9300361881785282E-2</v>
      </c>
    </row>
    <row r="30" spans="1:12" x14ac:dyDescent="0.35">
      <c r="A30" s="2" t="s">
        <v>16</v>
      </c>
      <c r="B30" s="2" t="s">
        <v>8</v>
      </c>
      <c r="C30" s="2" t="s">
        <v>10</v>
      </c>
      <c r="D30" s="2">
        <v>1100</v>
      </c>
      <c r="E30" s="2">
        <v>1040</v>
      </c>
      <c r="F30" s="2">
        <v>37</v>
      </c>
      <c r="G30" s="2">
        <v>13</v>
      </c>
      <c r="H30" s="2">
        <f t="shared" si="0"/>
        <v>0.96442307692307694</v>
      </c>
      <c r="I30" s="2">
        <f t="shared" si="1"/>
        <v>0.97291666666666665</v>
      </c>
      <c r="J30" s="2">
        <f t="shared" si="5"/>
        <v>0.94545454545454544</v>
      </c>
      <c r="K30" s="2">
        <f t="shared" si="6"/>
        <v>88.712310606060612</v>
      </c>
      <c r="L30" s="8">
        <f t="shared" si="2"/>
        <v>3.5576923076923075E-2</v>
      </c>
    </row>
    <row r="31" spans="1:12" x14ac:dyDescent="0.35">
      <c r="A31" s="2" t="s">
        <v>16</v>
      </c>
      <c r="B31" s="2" t="s">
        <v>8</v>
      </c>
      <c r="C31" s="2" t="s">
        <v>11</v>
      </c>
      <c r="D31" s="2">
        <v>1100</v>
      </c>
      <c r="E31" s="2">
        <v>1004</v>
      </c>
      <c r="F31" s="2">
        <v>28</v>
      </c>
      <c r="G31" s="2">
        <v>15</v>
      </c>
      <c r="H31" s="2">
        <f t="shared" si="0"/>
        <v>0.97211155378486058</v>
      </c>
      <c r="I31" s="2">
        <f t="shared" si="1"/>
        <v>0.96875</v>
      </c>
      <c r="J31" s="2">
        <f t="shared" si="5"/>
        <v>0.91272727272727272</v>
      </c>
      <c r="K31" s="2">
        <f t="shared" si="6"/>
        <v>85.954545454545467</v>
      </c>
      <c r="L31" s="8">
        <f t="shared" si="2"/>
        <v>2.7888446215139442E-2</v>
      </c>
    </row>
    <row r="32" spans="1:12" x14ac:dyDescent="0.35">
      <c r="A32" s="2" t="s">
        <v>16</v>
      </c>
      <c r="B32" s="2" t="s">
        <v>12</v>
      </c>
      <c r="C32" s="2" t="s">
        <v>9</v>
      </c>
      <c r="D32" s="2">
        <v>950</v>
      </c>
      <c r="E32" s="2">
        <v>926</v>
      </c>
      <c r="F32" s="2">
        <v>38</v>
      </c>
      <c r="G32" s="2">
        <v>22</v>
      </c>
      <c r="H32" s="2">
        <f t="shared" si="0"/>
        <v>0.95896328293736499</v>
      </c>
      <c r="I32" s="2">
        <f t="shared" si="1"/>
        <v>0.95416666666666672</v>
      </c>
      <c r="J32" s="2">
        <f t="shared" si="5"/>
        <v>0.97473684210526312</v>
      </c>
      <c r="K32" s="2">
        <f t="shared" si="6"/>
        <v>89.189473684210526</v>
      </c>
      <c r="L32" s="8">
        <f t="shared" si="2"/>
        <v>4.1036717062634988E-2</v>
      </c>
    </row>
    <row r="33" spans="1:12" x14ac:dyDescent="0.35">
      <c r="A33" s="2" t="s">
        <v>16</v>
      </c>
      <c r="B33" s="2" t="s">
        <v>12</v>
      </c>
      <c r="C33" s="2" t="s">
        <v>10</v>
      </c>
      <c r="D33" s="2">
        <v>950</v>
      </c>
      <c r="E33" s="2">
        <v>895</v>
      </c>
      <c r="F33" s="2">
        <v>33</v>
      </c>
      <c r="G33" s="2">
        <v>37</v>
      </c>
      <c r="H33" s="2">
        <f t="shared" si="0"/>
        <v>0.96312849162011172</v>
      </c>
      <c r="I33" s="2">
        <f t="shared" si="1"/>
        <v>0.92291666666666672</v>
      </c>
      <c r="J33" s="2">
        <f t="shared" si="5"/>
        <v>0.94210526315789478</v>
      </c>
      <c r="K33" s="2">
        <f t="shared" si="6"/>
        <v>83.742543859649132</v>
      </c>
      <c r="L33" s="8">
        <f t="shared" si="2"/>
        <v>3.6871508379888271E-2</v>
      </c>
    </row>
    <row r="34" spans="1:12" x14ac:dyDescent="0.35">
      <c r="A34" s="2" t="s">
        <v>16</v>
      </c>
      <c r="B34" s="2" t="s">
        <v>12</v>
      </c>
      <c r="C34" s="2" t="s">
        <v>11</v>
      </c>
      <c r="D34" s="2">
        <v>1000</v>
      </c>
      <c r="E34" s="2">
        <v>961</v>
      </c>
      <c r="F34" s="2">
        <v>22</v>
      </c>
      <c r="G34" s="2">
        <v>56</v>
      </c>
      <c r="H34" s="2">
        <f t="shared" si="0"/>
        <v>0.97710718002081165</v>
      </c>
      <c r="I34" s="2">
        <f t="shared" si="1"/>
        <v>0.8833333333333333</v>
      </c>
      <c r="J34" s="2">
        <f t="shared" si="5"/>
        <v>0.96099999999999997</v>
      </c>
      <c r="K34" s="2">
        <f t="shared" si="6"/>
        <v>82.944999999999993</v>
      </c>
      <c r="L34" s="8">
        <f t="shared" si="2"/>
        <v>2.2892819979188347E-2</v>
      </c>
    </row>
    <row r="35" spans="1:12" x14ac:dyDescent="0.35">
      <c r="A35" s="2" t="s">
        <v>16</v>
      </c>
      <c r="B35" s="2" t="s">
        <v>13</v>
      </c>
      <c r="C35" s="2" t="s">
        <v>9</v>
      </c>
      <c r="D35" s="2">
        <v>900</v>
      </c>
      <c r="E35" s="2">
        <v>879</v>
      </c>
      <c r="F35" s="2">
        <v>26</v>
      </c>
      <c r="G35" s="2">
        <v>41</v>
      </c>
      <c r="H35" s="2">
        <f t="shared" si="0"/>
        <v>0.9704209328782708</v>
      </c>
      <c r="I35" s="2">
        <f t="shared" si="1"/>
        <v>0.9145833333333333</v>
      </c>
      <c r="J35" s="2">
        <f t="shared" si="5"/>
        <v>0.97666666666666668</v>
      </c>
      <c r="K35" s="2">
        <f t="shared" si="6"/>
        <v>86.682175925925932</v>
      </c>
      <c r="L35" s="8">
        <f t="shared" si="2"/>
        <v>2.9579067121729238E-2</v>
      </c>
    </row>
    <row r="36" spans="1:12" x14ac:dyDescent="0.35">
      <c r="A36" s="2" t="s">
        <v>16</v>
      </c>
      <c r="B36" s="2" t="s">
        <v>13</v>
      </c>
      <c r="C36" s="2" t="s">
        <v>10</v>
      </c>
      <c r="D36" s="2">
        <v>1000</v>
      </c>
      <c r="E36" s="2">
        <v>952</v>
      </c>
      <c r="F36" s="2">
        <v>39</v>
      </c>
      <c r="G36" s="2">
        <v>11</v>
      </c>
      <c r="H36" s="2">
        <f t="shared" si="0"/>
        <v>0.95903361344537819</v>
      </c>
      <c r="I36" s="2">
        <f t="shared" si="1"/>
        <v>0.9770833333333333</v>
      </c>
      <c r="J36" s="2">
        <f t="shared" si="5"/>
        <v>0.95199999999999996</v>
      </c>
      <c r="K36" s="2">
        <f t="shared" si="6"/>
        <v>89.207708333333329</v>
      </c>
      <c r="L36" s="8">
        <f t="shared" si="2"/>
        <v>4.0966386554621849E-2</v>
      </c>
    </row>
    <row r="37" spans="1:12" x14ac:dyDescent="0.35">
      <c r="A37" s="2" t="s">
        <v>16</v>
      </c>
      <c r="B37" s="2" t="s">
        <v>13</v>
      </c>
      <c r="C37" s="2" t="s">
        <v>11</v>
      </c>
      <c r="D37" s="2">
        <v>1050</v>
      </c>
      <c r="E37" s="2">
        <v>1046</v>
      </c>
      <c r="F37" s="2">
        <v>13</v>
      </c>
      <c r="G37" s="2">
        <v>10</v>
      </c>
      <c r="H37" s="2">
        <f t="shared" si="0"/>
        <v>0.9875717017208413</v>
      </c>
      <c r="I37" s="2">
        <f t="shared" si="1"/>
        <v>0.97916666666666663</v>
      </c>
      <c r="J37" s="2">
        <f t="shared" si="5"/>
        <v>0.99619047619047618</v>
      </c>
      <c r="K37" s="2">
        <f t="shared" si="6"/>
        <v>96.331349206349202</v>
      </c>
      <c r="L37" s="8">
        <f t="shared" si="2"/>
        <v>1.24282982791587E-2</v>
      </c>
    </row>
    <row r="38" spans="1:12" x14ac:dyDescent="0.35">
      <c r="A38" s="2" t="s">
        <v>17</v>
      </c>
      <c r="B38" s="2" t="s">
        <v>8</v>
      </c>
      <c r="C38" s="2" t="s">
        <v>9</v>
      </c>
      <c r="D38" s="2">
        <v>1050</v>
      </c>
      <c r="E38" s="2">
        <v>993</v>
      </c>
      <c r="F38" s="2">
        <v>40</v>
      </c>
      <c r="G38" s="2">
        <v>18</v>
      </c>
      <c r="H38" s="2">
        <f t="shared" si="0"/>
        <v>0.95971802618328295</v>
      </c>
      <c r="I38" s="2">
        <f t="shared" si="1"/>
        <v>0.96250000000000002</v>
      </c>
      <c r="J38" s="2">
        <f t="shared" si="5"/>
        <v>0.94571428571428573</v>
      </c>
      <c r="K38" s="2">
        <f t="shared" si="6"/>
        <v>87.358333333333334</v>
      </c>
      <c r="L38" s="8">
        <f t="shared" si="2"/>
        <v>4.0281973816717019E-2</v>
      </c>
    </row>
    <row r="39" spans="1:12" x14ac:dyDescent="0.35">
      <c r="A39" s="2" t="s">
        <v>17</v>
      </c>
      <c r="B39" s="2" t="s">
        <v>8</v>
      </c>
      <c r="C39" s="2" t="s">
        <v>10</v>
      </c>
      <c r="D39" s="2">
        <v>1050</v>
      </c>
      <c r="E39" s="2">
        <v>931</v>
      </c>
      <c r="F39" s="2">
        <v>35</v>
      </c>
      <c r="G39" s="2">
        <v>58</v>
      </c>
      <c r="H39" s="2">
        <f t="shared" si="0"/>
        <v>0.96240601503759393</v>
      </c>
      <c r="I39" s="2">
        <f t="shared" si="1"/>
        <v>0.87916666666666665</v>
      </c>
      <c r="J39" s="2">
        <f t="shared" si="5"/>
        <v>0.88666666666666671</v>
      </c>
      <c r="K39" s="2">
        <f t="shared" si="6"/>
        <v>75.022222222222211</v>
      </c>
      <c r="L39" s="8">
        <f t="shared" si="2"/>
        <v>3.7593984962406013E-2</v>
      </c>
    </row>
    <row r="40" spans="1:12" x14ac:dyDescent="0.35">
      <c r="A40" s="2" t="s">
        <v>17</v>
      </c>
      <c r="B40" s="2" t="s">
        <v>8</v>
      </c>
      <c r="C40" s="2" t="s">
        <v>11</v>
      </c>
      <c r="D40" s="2">
        <v>950</v>
      </c>
      <c r="E40" s="2">
        <v>860</v>
      </c>
      <c r="F40" s="2">
        <v>24</v>
      </c>
      <c r="G40" s="2">
        <v>31</v>
      </c>
      <c r="H40" s="2">
        <f t="shared" si="0"/>
        <v>0.97209302325581393</v>
      </c>
      <c r="I40" s="2">
        <f t="shared" si="1"/>
        <v>0.93541666666666667</v>
      </c>
      <c r="J40" s="2">
        <f t="shared" si="5"/>
        <v>0.90526315789473688</v>
      </c>
      <c r="K40" s="2">
        <f t="shared" si="6"/>
        <v>82.316666666666677</v>
      </c>
      <c r="L40" s="8">
        <f t="shared" si="2"/>
        <v>2.7906976744186046E-2</v>
      </c>
    </row>
    <row r="41" spans="1:12" x14ac:dyDescent="0.35">
      <c r="A41" s="2" t="s">
        <v>17</v>
      </c>
      <c r="B41" s="2" t="s">
        <v>12</v>
      </c>
      <c r="C41" s="2" t="s">
        <v>9</v>
      </c>
      <c r="D41" s="2">
        <v>1100</v>
      </c>
      <c r="E41" s="2">
        <v>981</v>
      </c>
      <c r="F41" s="2">
        <v>34</v>
      </c>
      <c r="G41" s="2">
        <v>55</v>
      </c>
      <c r="H41" s="2">
        <f t="shared" si="0"/>
        <v>0.96534148827726807</v>
      </c>
      <c r="I41" s="2">
        <f t="shared" si="1"/>
        <v>0.88541666666666663</v>
      </c>
      <c r="J41" s="2">
        <f t="shared" si="5"/>
        <v>0.89181818181818184</v>
      </c>
      <c r="K41" s="2">
        <f t="shared" si="6"/>
        <v>76.226325757575765</v>
      </c>
      <c r="L41" s="8">
        <f t="shared" si="2"/>
        <v>3.4658511722731905E-2</v>
      </c>
    </row>
    <row r="42" spans="1:12" x14ac:dyDescent="0.35">
      <c r="A42" s="2" t="s">
        <v>17</v>
      </c>
      <c r="B42" s="2" t="s">
        <v>12</v>
      </c>
      <c r="C42" s="2" t="s">
        <v>10</v>
      </c>
      <c r="D42" s="2">
        <v>1050</v>
      </c>
      <c r="E42" s="2">
        <v>1040</v>
      </c>
      <c r="F42" s="2">
        <v>16</v>
      </c>
      <c r="G42" s="2">
        <v>56</v>
      </c>
      <c r="H42" s="2">
        <f t="shared" si="0"/>
        <v>0.98461538461538467</v>
      </c>
      <c r="I42" s="2">
        <f t="shared" si="1"/>
        <v>0.8833333333333333</v>
      </c>
      <c r="J42" s="2">
        <f t="shared" si="5"/>
        <v>0.99047619047619051</v>
      </c>
      <c r="K42" s="2">
        <f t="shared" si="6"/>
        <v>86.146031746031753</v>
      </c>
      <c r="L42" s="8">
        <f t="shared" si="2"/>
        <v>1.5384615384615385E-2</v>
      </c>
    </row>
    <row r="43" spans="1:12" x14ac:dyDescent="0.35">
      <c r="A43" s="2" t="s">
        <v>17</v>
      </c>
      <c r="B43" s="2" t="s">
        <v>12</v>
      </c>
      <c r="C43" s="2" t="s">
        <v>11</v>
      </c>
      <c r="D43" s="2">
        <v>1050</v>
      </c>
      <c r="E43" s="2">
        <v>1040</v>
      </c>
      <c r="F43" s="2">
        <v>10</v>
      </c>
      <c r="G43" s="2">
        <v>3</v>
      </c>
      <c r="H43" s="2">
        <f t="shared" si="0"/>
        <v>0.99038461538461542</v>
      </c>
      <c r="I43" s="2">
        <f t="shared" si="1"/>
        <v>0.99375000000000002</v>
      </c>
      <c r="J43" s="2">
        <f t="shared" si="5"/>
        <v>0.99047619047619051</v>
      </c>
      <c r="K43" s="2">
        <f t="shared" si="6"/>
        <v>97.482142857142875</v>
      </c>
      <c r="L43" s="8">
        <f t="shared" si="2"/>
        <v>9.6153846153846159E-3</v>
      </c>
    </row>
    <row r="44" spans="1:12" x14ac:dyDescent="0.35">
      <c r="A44" s="2" t="s">
        <v>17</v>
      </c>
      <c r="B44" s="2" t="s">
        <v>13</v>
      </c>
      <c r="C44" s="2" t="s">
        <v>9</v>
      </c>
      <c r="D44" s="2">
        <v>950</v>
      </c>
      <c r="E44" s="2">
        <v>869</v>
      </c>
      <c r="F44" s="2">
        <v>8</v>
      </c>
      <c r="G44" s="2">
        <v>30</v>
      </c>
      <c r="H44" s="2">
        <f t="shared" si="0"/>
        <v>0.9907940161104718</v>
      </c>
      <c r="I44" s="2">
        <f t="shared" si="1"/>
        <v>0.9375</v>
      </c>
      <c r="J44" s="2">
        <f t="shared" si="5"/>
        <v>0.91473684210526318</v>
      </c>
      <c r="K44" s="2">
        <f t="shared" si="6"/>
        <v>84.96710526315789</v>
      </c>
      <c r="L44" s="8">
        <f t="shared" si="2"/>
        <v>9.2059838895281933E-3</v>
      </c>
    </row>
    <row r="45" spans="1:12" x14ac:dyDescent="0.35">
      <c r="A45" s="2" t="s">
        <v>17</v>
      </c>
      <c r="B45" s="2" t="s">
        <v>13</v>
      </c>
      <c r="C45" s="2" t="s">
        <v>10</v>
      </c>
      <c r="D45" s="2">
        <v>950</v>
      </c>
      <c r="E45" s="2">
        <v>846</v>
      </c>
      <c r="F45" s="2">
        <v>16</v>
      </c>
      <c r="G45" s="2">
        <v>2</v>
      </c>
      <c r="H45" s="2">
        <f t="shared" si="0"/>
        <v>0.98108747044917255</v>
      </c>
      <c r="I45" s="2">
        <f t="shared" si="1"/>
        <v>0.99583333333333335</v>
      </c>
      <c r="J45" s="2">
        <f t="shared" si="5"/>
        <v>0.89052631578947372</v>
      </c>
      <c r="K45" s="2">
        <f t="shared" si="6"/>
        <v>87.004385964912274</v>
      </c>
      <c r="L45" s="8">
        <f t="shared" si="2"/>
        <v>1.8912529550827423E-2</v>
      </c>
    </row>
    <row r="46" spans="1:12" x14ac:dyDescent="0.35">
      <c r="A46" s="2" t="s">
        <v>17</v>
      </c>
      <c r="B46" s="2" t="s">
        <v>13</v>
      </c>
      <c r="C46" s="2" t="s">
        <v>11</v>
      </c>
      <c r="D46" s="2">
        <v>900</v>
      </c>
      <c r="E46" s="2">
        <v>864</v>
      </c>
      <c r="F46" s="2">
        <v>36</v>
      </c>
      <c r="G46" s="2">
        <v>38</v>
      </c>
      <c r="H46" s="2">
        <f t="shared" si="0"/>
        <v>0.95833333333333337</v>
      </c>
      <c r="I46" s="2">
        <f t="shared" si="1"/>
        <v>0.92083333333333328</v>
      </c>
      <c r="J46" s="2">
        <f t="shared" si="5"/>
        <v>0.96</v>
      </c>
      <c r="K46" s="2">
        <f t="shared" si="6"/>
        <v>84.716666666666669</v>
      </c>
      <c r="L46" s="8">
        <f t="shared" si="2"/>
        <v>4.1666666666666664E-2</v>
      </c>
    </row>
    <row r="47" spans="1:12" x14ac:dyDescent="0.35">
      <c r="A47" s="2" t="s">
        <v>18</v>
      </c>
      <c r="B47" s="2" t="s">
        <v>8</v>
      </c>
      <c r="C47" s="2" t="s">
        <v>9</v>
      </c>
      <c r="D47" s="2">
        <v>950</v>
      </c>
      <c r="E47" s="2">
        <v>891</v>
      </c>
      <c r="F47" s="2">
        <v>12</v>
      </c>
      <c r="G47" s="2">
        <v>14</v>
      </c>
      <c r="H47" s="2">
        <f t="shared" si="0"/>
        <v>0.98653198653198648</v>
      </c>
      <c r="I47" s="2">
        <f t="shared" si="1"/>
        <v>0.97083333333333333</v>
      </c>
      <c r="J47" s="2">
        <f t="shared" si="5"/>
        <v>0.93789473684210523</v>
      </c>
      <c r="K47" s="2">
        <f t="shared" si="6"/>
        <v>89.827631578947347</v>
      </c>
      <c r="L47" s="8">
        <f t="shared" si="2"/>
        <v>1.3468013468013467E-2</v>
      </c>
    </row>
    <row r="48" spans="1:12" x14ac:dyDescent="0.35">
      <c r="A48" s="2" t="s">
        <v>18</v>
      </c>
      <c r="B48" s="2" t="s">
        <v>8</v>
      </c>
      <c r="C48" s="2" t="s">
        <v>10</v>
      </c>
      <c r="D48" s="2">
        <v>950</v>
      </c>
      <c r="E48" s="2">
        <v>871</v>
      </c>
      <c r="F48" s="2">
        <v>28</v>
      </c>
      <c r="G48" s="2">
        <v>12</v>
      </c>
      <c r="H48" s="2">
        <f t="shared" si="0"/>
        <v>0.96785304247990811</v>
      </c>
      <c r="I48" s="2">
        <f t="shared" si="1"/>
        <v>0.97499999999999998</v>
      </c>
      <c r="J48" s="2">
        <f t="shared" si="5"/>
        <v>0.9168421052631579</v>
      </c>
      <c r="K48" s="2">
        <f t="shared" si="6"/>
        <v>86.518421052631581</v>
      </c>
      <c r="L48" s="8">
        <f t="shared" si="2"/>
        <v>3.2146957520091848E-2</v>
      </c>
    </row>
    <row r="49" spans="1:12" x14ac:dyDescent="0.35">
      <c r="A49" s="2" t="s">
        <v>18</v>
      </c>
      <c r="B49" s="2" t="s">
        <v>8</v>
      </c>
      <c r="C49" s="2" t="s">
        <v>11</v>
      </c>
      <c r="D49" s="2">
        <v>950</v>
      </c>
      <c r="E49" s="2">
        <v>930</v>
      </c>
      <c r="F49" s="2">
        <v>15</v>
      </c>
      <c r="G49" s="2">
        <v>10</v>
      </c>
      <c r="H49" s="2">
        <f t="shared" si="0"/>
        <v>0.9838709677419355</v>
      </c>
      <c r="I49" s="2">
        <f t="shared" si="1"/>
        <v>0.97916666666666663</v>
      </c>
      <c r="J49" s="2">
        <f t="shared" si="5"/>
        <v>0.97894736842105268</v>
      </c>
      <c r="K49" s="2">
        <f t="shared" si="6"/>
        <v>94.309210526315795</v>
      </c>
      <c r="L49" s="8">
        <f t="shared" si="2"/>
        <v>1.6129032258064516E-2</v>
      </c>
    </row>
    <row r="50" spans="1:12" x14ac:dyDescent="0.35">
      <c r="A50" s="2" t="s">
        <v>18</v>
      </c>
      <c r="B50" s="2" t="s">
        <v>12</v>
      </c>
      <c r="C50" s="2" t="s">
        <v>9</v>
      </c>
      <c r="D50" s="2">
        <v>950</v>
      </c>
      <c r="E50" s="2">
        <v>919</v>
      </c>
      <c r="F50" s="2">
        <v>13</v>
      </c>
      <c r="G50" s="2">
        <v>44</v>
      </c>
      <c r="H50" s="2">
        <f t="shared" si="0"/>
        <v>0.98585418933623503</v>
      </c>
      <c r="I50" s="2">
        <f t="shared" si="1"/>
        <v>0.90833333333333333</v>
      </c>
      <c r="J50" s="2">
        <f t="shared" si="5"/>
        <v>0.96736842105263154</v>
      </c>
      <c r="K50" s="2">
        <f t="shared" si="6"/>
        <v>86.626315789473679</v>
      </c>
      <c r="L50" s="8">
        <f t="shared" si="2"/>
        <v>1.4145810663764961E-2</v>
      </c>
    </row>
    <row r="51" spans="1:12" x14ac:dyDescent="0.35">
      <c r="A51" s="2" t="s">
        <v>18</v>
      </c>
      <c r="B51" s="2" t="s">
        <v>12</v>
      </c>
      <c r="C51" s="2" t="s">
        <v>10</v>
      </c>
      <c r="D51" s="2">
        <v>1000</v>
      </c>
      <c r="E51" s="2">
        <v>965</v>
      </c>
      <c r="F51" s="2">
        <v>21</v>
      </c>
      <c r="G51" s="2">
        <v>14</v>
      </c>
      <c r="H51" s="2">
        <f t="shared" si="0"/>
        <v>0.97823834196891191</v>
      </c>
      <c r="I51" s="2">
        <f t="shared" si="1"/>
        <v>0.97083333333333333</v>
      </c>
      <c r="J51" s="2">
        <f t="shared" si="5"/>
        <v>0.96499999999999997</v>
      </c>
      <c r="K51" s="2">
        <f t="shared" si="6"/>
        <v>91.646666666666661</v>
      </c>
      <c r="L51" s="8">
        <f t="shared" si="2"/>
        <v>2.1761658031088083E-2</v>
      </c>
    </row>
    <row r="52" spans="1:12" x14ac:dyDescent="0.35">
      <c r="A52" s="2" t="s">
        <v>18</v>
      </c>
      <c r="B52" s="2" t="s">
        <v>12</v>
      </c>
      <c r="C52" s="2" t="s">
        <v>11</v>
      </c>
      <c r="D52" s="2">
        <v>1100</v>
      </c>
      <c r="E52" s="2">
        <v>1010</v>
      </c>
      <c r="F52" s="2">
        <v>48</v>
      </c>
      <c r="G52" s="2">
        <v>12</v>
      </c>
      <c r="H52" s="2">
        <f t="shared" si="0"/>
        <v>0.95247524752475243</v>
      </c>
      <c r="I52" s="2">
        <f t="shared" si="1"/>
        <v>0.97499999999999998</v>
      </c>
      <c r="J52" s="2">
        <f t="shared" si="5"/>
        <v>0.91818181818181821</v>
      </c>
      <c r="K52" s="2">
        <f t="shared" si="6"/>
        <v>85.268181818181816</v>
      </c>
      <c r="L52" s="8">
        <f t="shared" si="2"/>
        <v>4.7524752475247525E-2</v>
      </c>
    </row>
    <row r="53" spans="1:12" x14ac:dyDescent="0.35">
      <c r="A53" s="2" t="s">
        <v>18</v>
      </c>
      <c r="B53" s="2" t="s">
        <v>13</v>
      </c>
      <c r="C53" s="2" t="s">
        <v>9</v>
      </c>
      <c r="D53" s="2">
        <v>900</v>
      </c>
      <c r="E53" s="2">
        <v>792</v>
      </c>
      <c r="F53" s="2">
        <v>11</v>
      </c>
      <c r="G53" s="2">
        <v>34</v>
      </c>
      <c r="H53" s="2">
        <f t="shared" si="0"/>
        <v>0.98611111111111116</v>
      </c>
      <c r="I53" s="2">
        <f t="shared" si="1"/>
        <v>0.9291666666666667</v>
      </c>
      <c r="J53" s="2">
        <f t="shared" si="5"/>
        <v>0.88</v>
      </c>
      <c r="K53" s="2">
        <f t="shared" si="6"/>
        <v>80.63101851851853</v>
      </c>
      <c r="L53" s="8">
        <f t="shared" si="2"/>
        <v>1.3888888888888888E-2</v>
      </c>
    </row>
    <row r="54" spans="1:12" x14ac:dyDescent="0.35">
      <c r="A54" s="2" t="s">
        <v>18</v>
      </c>
      <c r="B54" s="2" t="s">
        <v>13</v>
      </c>
      <c r="C54" s="2" t="s">
        <v>10</v>
      </c>
      <c r="D54" s="2">
        <v>950</v>
      </c>
      <c r="E54" s="2">
        <v>834</v>
      </c>
      <c r="F54" s="2">
        <v>34</v>
      </c>
      <c r="G54" s="2">
        <v>59</v>
      </c>
      <c r="H54" s="2">
        <f t="shared" si="0"/>
        <v>0.95923261390887293</v>
      </c>
      <c r="I54" s="2">
        <f t="shared" si="1"/>
        <v>0.87708333333333333</v>
      </c>
      <c r="J54" s="2">
        <f t="shared" si="5"/>
        <v>0.87789473684210528</v>
      </c>
      <c r="K54" s="2">
        <f t="shared" si="6"/>
        <v>73.859649122807028</v>
      </c>
      <c r="L54" s="8">
        <f t="shared" si="2"/>
        <v>4.0767386091127102E-2</v>
      </c>
    </row>
    <row r="55" spans="1:12" x14ac:dyDescent="0.35">
      <c r="A55" s="2" t="s">
        <v>18</v>
      </c>
      <c r="B55" s="2" t="s">
        <v>13</v>
      </c>
      <c r="C55" s="2" t="s">
        <v>11</v>
      </c>
      <c r="D55" s="2">
        <v>1100</v>
      </c>
      <c r="E55" s="2">
        <v>1004</v>
      </c>
      <c r="F55" s="2">
        <v>42</v>
      </c>
      <c r="G55" s="2">
        <v>5</v>
      </c>
      <c r="H55" s="2">
        <f t="shared" si="0"/>
        <v>0.95816733067729087</v>
      </c>
      <c r="I55" s="2">
        <f t="shared" si="1"/>
        <v>0.98958333333333337</v>
      </c>
      <c r="J55" s="2">
        <f t="shared" si="5"/>
        <v>0.91272727272727272</v>
      </c>
      <c r="K55" s="2">
        <f t="shared" si="6"/>
        <v>86.543560606060609</v>
      </c>
      <c r="L55" s="8">
        <f t="shared" si="2"/>
        <v>4.1832669322709161E-2</v>
      </c>
    </row>
    <row r="56" spans="1:12" x14ac:dyDescent="0.35">
      <c r="A56" s="2" t="s">
        <v>19</v>
      </c>
      <c r="B56" s="2" t="s">
        <v>8</v>
      </c>
      <c r="C56" s="2" t="s">
        <v>9</v>
      </c>
      <c r="D56" s="2">
        <v>1100</v>
      </c>
      <c r="E56" s="2">
        <v>988</v>
      </c>
      <c r="F56" s="2">
        <v>20</v>
      </c>
      <c r="G56" s="2">
        <v>56</v>
      </c>
      <c r="H56" s="2">
        <f t="shared" si="0"/>
        <v>0.97975708502024295</v>
      </c>
      <c r="I56" s="2">
        <f t="shared" si="1"/>
        <v>0.8833333333333333</v>
      </c>
      <c r="J56" s="2">
        <f t="shared" si="5"/>
        <v>0.89818181818181819</v>
      </c>
      <c r="K56" s="2">
        <f t="shared" si="6"/>
        <v>77.733333333333348</v>
      </c>
      <c r="L56" s="8">
        <f t="shared" si="2"/>
        <v>2.0242914979757085E-2</v>
      </c>
    </row>
    <row r="57" spans="1:12" x14ac:dyDescent="0.35">
      <c r="A57" s="2" t="s">
        <v>19</v>
      </c>
      <c r="B57" s="2" t="s">
        <v>8</v>
      </c>
      <c r="C57" s="2" t="s">
        <v>10</v>
      </c>
      <c r="D57" s="2">
        <v>900</v>
      </c>
      <c r="E57" s="2">
        <v>818</v>
      </c>
      <c r="F57" s="2">
        <v>17</v>
      </c>
      <c r="G57" s="2">
        <v>25</v>
      </c>
      <c r="H57" s="2">
        <f t="shared" si="0"/>
        <v>0.97921760391198043</v>
      </c>
      <c r="I57" s="2">
        <f t="shared" si="1"/>
        <v>0.94791666666666663</v>
      </c>
      <c r="J57" s="2">
        <f t="shared" si="5"/>
        <v>0.90888888888888886</v>
      </c>
      <c r="K57" s="2">
        <f t="shared" si="6"/>
        <v>84.364583333333329</v>
      </c>
      <c r="L57" s="8">
        <f t="shared" si="2"/>
        <v>2.0782396088019559E-2</v>
      </c>
    </row>
    <row r="58" spans="1:12" x14ac:dyDescent="0.35">
      <c r="A58" s="2" t="s">
        <v>19</v>
      </c>
      <c r="B58" s="2" t="s">
        <v>8</v>
      </c>
      <c r="C58" s="2" t="s">
        <v>11</v>
      </c>
      <c r="D58" s="2">
        <v>1100</v>
      </c>
      <c r="E58" s="2">
        <v>996</v>
      </c>
      <c r="F58" s="2">
        <v>43</v>
      </c>
      <c r="G58" s="2">
        <v>45</v>
      </c>
      <c r="H58" s="2">
        <f t="shared" si="0"/>
        <v>0.95682730923694781</v>
      </c>
      <c r="I58" s="2">
        <f t="shared" si="1"/>
        <v>0.90625</v>
      </c>
      <c r="J58" s="2">
        <f t="shared" si="5"/>
        <v>0.9054545454545454</v>
      </c>
      <c r="K58" s="2">
        <f t="shared" si="6"/>
        <v>78.514204545454533</v>
      </c>
      <c r="L58" s="8">
        <f t="shared" si="2"/>
        <v>4.3172690763052211E-2</v>
      </c>
    </row>
    <row r="59" spans="1:12" x14ac:dyDescent="0.35">
      <c r="A59" s="2" t="s">
        <v>19</v>
      </c>
      <c r="B59" s="2" t="s">
        <v>12</v>
      </c>
      <c r="C59" s="2" t="s">
        <v>9</v>
      </c>
      <c r="D59" s="2">
        <v>1000</v>
      </c>
      <c r="E59" s="2">
        <v>910</v>
      </c>
      <c r="F59" s="2">
        <v>24</v>
      </c>
      <c r="G59" s="2">
        <v>35</v>
      </c>
      <c r="H59" s="2">
        <f t="shared" si="0"/>
        <v>0.97362637362637361</v>
      </c>
      <c r="I59" s="2">
        <f t="shared" si="1"/>
        <v>0.92708333333333337</v>
      </c>
      <c r="J59" s="2">
        <f t="shared" si="5"/>
        <v>0.91</v>
      </c>
      <c r="K59" s="2">
        <f t="shared" si="6"/>
        <v>82.139583333333334</v>
      </c>
      <c r="L59" s="8">
        <f t="shared" si="2"/>
        <v>2.6373626373626374E-2</v>
      </c>
    </row>
    <row r="60" spans="1:12" x14ac:dyDescent="0.35">
      <c r="A60" s="2" t="s">
        <v>19</v>
      </c>
      <c r="B60" s="2" t="s">
        <v>12</v>
      </c>
      <c r="C60" s="2" t="s">
        <v>10</v>
      </c>
      <c r="D60" s="2">
        <v>1100</v>
      </c>
      <c r="E60" s="2">
        <v>1018</v>
      </c>
      <c r="F60" s="2">
        <v>38</v>
      </c>
      <c r="G60" s="2">
        <v>57</v>
      </c>
      <c r="H60" s="2">
        <f t="shared" si="0"/>
        <v>0.96267190569744598</v>
      </c>
      <c r="I60" s="2">
        <f t="shared" si="1"/>
        <v>0.88124999999999998</v>
      </c>
      <c r="J60" s="2">
        <f t="shared" si="5"/>
        <v>0.92545454545454542</v>
      </c>
      <c r="K60" s="2">
        <f t="shared" si="6"/>
        <v>78.511363636363626</v>
      </c>
      <c r="L60" s="8">
        <f t="shared" si="2"/>
        <v>3.732809430255403E-2</v>
      </c>
    </row>
    <row r="61" spans="1:12" x14ac:dyDescent="0.35">
      <c r="A61" s="2" t="s">
        <v>19</v>
      </c>
      <c r="B61" s="2" t="s">
        <v>12</v>
      </c>
      <c r="C61" s="2" t="s">
        <v>11</v>
      </c>
      <c r="D61" s="2">
        <v>1100</v>
      </c>
      <c r="E61" s="2">
        <v>985</v>
      </c>
      <c r="F61" s="2">
        <v>44</v>
      </c>
      <c r="G61" s="2">
        <v>7</v>
      </c>
      <c r="H61" s="2">
        <f t="shared" si="0"/>
        <v>0.95532994923857872</v>
      </c>
      <c r="I61" s="2">
        <f t="shared" si="1"/>
        <v>0.98541666666666672</v>
      </c>
      <c r="J61" s="2">
        <f t="shared" si="5"/>
        <v>0.8954545454545455</v>
      </c>
      <c r="K61" s="2">
        <f t="shared" si="6"/>
        <v>84.297916666666666</v>
      </c>
      <c r="L61" s="8">
        <f t="shared" si="2"/>
        <v>4.4670050761421318E-2</v>
      </c>
    </row>
    <row r="62" spans="1:12" x14ac:dyDescent="0.35">
      <c r="A62" s="2" t="s">
        <v>19</v>
      </c>
      <c r="B62" s="2" t="s">
        <v>13</v>
      </c>
      <c r="C62" s="2" t="s">
        <v>9</v>
      </c>
      <c r="D62" s="2">
        <v>900</v>
      </c>
      <c r="E62" s="2">
        <v>885</v>
      </c>
      <c r="F62" s="2">
        <v>7</v>
      </c>
      <c r="G62" s="2">
        <v>27</v>
      </c>
      <c r="H62" s="2">
        <f t="shared" si="0"/>
        <v>0.99209039548022604</v>
      </c>
      <c r="I62" s="2">
        <f t="shared" si="1"/>
        <v>0.94374999999999998</v>
      </c>
      <c r="J62" s="2">
        <f t="shared" si="5"/>
        <v>0.98333333333333328</v>
      </c>
      <c r="K62" s="2">
        <f t="shared" si="6"/>
        <v>92.068055555555546</v>
      </c>
      <c r="L62" s="8">
        <f t="shared" si="2"/>
        <v>7.9096045197740109E-3</v>
      </c>
    </row>
    <row r="63" spans="1:12" x14ac:dyDescent="0.35">
      <c r="A63" s="2" t="s">
        <v>19</v>
      </c>
      <c r="B63" s="2" t="s">
        <v>13</v>
      </c>
      <c r="C63" s="2" t="s">
        <v>10</v>
      </c>
      <c r="D63" s="2">
        <v>1100</v>
      </c>
      <c r="E63" s="2">
        <v>1083</v>
      </c>
      <c r="F63" s="2">
        <v>36</v>
      </c>
      <c r="G63" s="2">
        <v>23</v>
      </c>
      <c r="H63" s="2">
        <f t="shared" si="0"/>
        <v>0.96675900277008309</v>
      </c>
      <c r="I63" s="2">
        <f t="shared" si="1"/>
        <v>0.95208333333333328</v>
      </c>
      <c r="J63" s="2">
        <f t="shared" si="5"/>
        <v>0.9845454545454545</v>
      </c>
      <c r="K63" s="2">
        <f t="shared" si="6"/>
        <v>90.621022727272717</v>
      </c>
      <c r="L63" s="8">
        <f t="shared" si="2"/>
        <v>3.3240997229916899E-2</v>
      </c>
    </row>
    <row r="64" spans="1:12" x14ac:dyDescent="0.35">
      <c r="A64" s="2" t="s">
        <v>19</v>
      </c>
      <c r="B64" s="2" t="s">
        <v>13</v>
      </c>
      <c r="C64" s="2" t="s">
        <v>11</v>
      </c>
      <c r="D64" s="2">
        <v>1000</v>
      </c>
      <c r="E64" s="2">
        <v>963</v>
      </c>
      <c r="F64" s="2">
        <v>11</v>
      </c>
      <c r="G64" s="2">
        <v>28</v>
      </c>
      <c r="H64" s="2">
        <f t="shared" si="0"/>
        <v>0.98857736240913807</v>
      </c>
      <c r="I64" s="2">
        <f t="shared" si="1"/>
        <v>0.94166666666666665</v>
      </c>
      <c r="J64" s="2">
        <f t="shared" si="5"/>
        <v>0.96299999999999997</v>
      </c>
      <c r="K64" s="2">
        <f t="shared" si="6"/>
        <v>89.646666666666647</v>
      </c>
      <c r="L64" s="8">
        <f t="shared" si="2"/>
        <v>1.142263759086189E-2</v>
      </c>
    </row>
    <row r="65" spans="1:12" x14ac:dyDescent="0.35">
      <c r="A65" s="2" t="s">
        <v>20</v>
      </c>
      <c r="B65" s="2" t="s">
        <v>8</v>
      </c>
      <c r="C65" s="2" t="s">
        <v>9</v>
      </c>
      <c r="D65" s="2">
        <v>900</v>
      </c>
      <c r="E65" s="2">
        <v>826</v>
      </c>
      <c r="F65" s="2">
        <v>36</v>
      </c>
      <c r="G65" s="2">
        <v>43</v>
      </c>
      <c r="H65" s="2">
        <f t="shared" si="0"/>
        <v>0.95641646489104115</v>
      </c>
      <c r="I65" s="2">
        <f t="shared" si="1"/>
        <v>0.91041666666666665</v>
      </c>
      <c r="J65" s="2">
        <f t="shared" si="5"/>
        <v>0.9177777777777778</v>
      </c>
      <c r="K65" s="2">
        <f t="shared" si="6"/>
        <v>79.914351851851848</v>
      </c>
      <c r="L65" s="8">
        <f t="shared" si="2"/>
        <v>4.3583535108958835E-2</v>
      </c>
    </row>
    <row r="66" spans="1:12" x14ac:dyDescent="0.35">
      <c r="A66" s="2" t="s">
        <v>20</v>
      </c>
      <c r="B66" s="2" t="s">
        <v>8</v>
      </c>
      <c r="C66" s="2" t="s">
        <v>10</v>
      </c>
      <c r="D66" s="2">
        <v>1100</v>
      </c>
      <c r="E66" s="2">
        <v>1072</v>
      </c>
      <c r="F66" s="2">
        <v>26</v>
      </c>
      <c r="G66" s="2">
        <v>58</v>
      </c>
      <c r="H66" s="2">
        <f t="shared" si="0"/>
        <v>0.97574626865671643</v>
      </c>
      <c r="I66" s="2">
        <f t="shared" si="1"/>
        <v>0.87916666666666665</v>
      </c>
      <c r="J66" s="2">
        <f t="shared" si="5"/>
        <v>0.97454545454545449</v>
      </c>
      <c r="K66" s="2">
        <f t="shared" si="6"/>
        <v>83.600757575757569</v>
      </c>
      <c r="L66" s="8">
        <f t="shared" si="2"/>
        <v>2.4253731343283583E-2</v>
      </c>
    </row>
    <row r="67" spans="1:12" x14ac:dyDescent="0.35">
      <c r="A67" s="2" t="s">
        <v>20</v>
      </c>
      <c r="B67" s="2" t="s">
        <v>8</v>
      </c>
      <c r="C67" s="2" t="s">
        <v>11</v>
      </c>
      <c r="D67" s="2">
        <v>1100</v>
      </c>
      <c r="E67" s="2">
        <v>1014</v>
      </c>
      <c r="F67" s="2">
        <v>50</v>
      </c>
      <c r="G67" s="2">
        <v>5</v>
      </c>
      <c r="H67" s="2">
        <f t="shared" ref="H67:H130" si="7">(E67-F67)/E67</f>
        <v>0.95069033530571989</v>
      </c>
      <c r="I67" s="2">
        <f t="shared" ref="I67:I130" si="8">(480-G67)/480</f>
        <v>0.98958333333333337</v>
      </c>
      <c r="J67" s="2">
        <f t="shared" si="5"/>
        <v>0.92181818181818187</v>
      </c>
      <c r="K67" s="2">
        <f t="shared" si="6"/>
        <v>86.723484848484858</v>
      </c>
      <c r="L67" s="8">
        <f t="shared" ref="L67:L130" si="9">(F67/E67)</f>
        <v>4.9309664694280081E-2</v>
      </c>
    </row>
    <row r="68" spans="1:12" x14ac:dyDescent="0.35">
      <c r="A68" s="2" t="s">
        <v>20</v>
      </c>
      <c r="B68" s="2" t="s">
        <v>12</v>
      </c>
      <c r="C68" s="2" t="s">
        <v>9</v>
      </c>
      <c r="D68" s="2">
        <v>1000</v>
      </c>
      <c r="E68" s="2">
        <v>882</v>
      </c>
      <c r="F68" s="2">
        <v>43</v>
      </c>
      <c r="G68" s="2">
        <v>5</v>
      </c>
      <c r="H68" s="2">
        <f t="shared" si="7"/>
        <v>0.9512471655328798</v>
      </c>
      <c r="I68" s="2">
        <f t="shared" si="8"/>
        <v>0.98958333333333337</v>
      </c>
      <c r="J68" s="2">
        <f t="shared" si="5"/>
        <v>0.88200000000000001</v>
      </c>
      <c r="K68" s="2">
        <f t="shared" si="6"/>
        <v>83.026041666666671</v>
      </c>
      <c r="L68" s="8">
        <f t="shared" si="9"/>
        <v>4.8752834467120185E-2</v>
      </c>
    </row>
    <row r="69" spans="1:12" x14ac:dyDescent="0.35">
      <c r="A69" s="2" t="s">
        <v>20</v>
      </c>
      <c r="B69" s="2" t="s">
        <v>12</v>
      </c>
      <c r="C69" s="2" t="s">
        <v>10</v>
      </c>
      <c r="D69" s="2">
        <v>1050</v>
      </c>
      <c r="E69" s="2">
        <v>982</v>
      </c>
      <c r="F69" s="2">
        <v>41</v>
      </c>
      <c r="G69" s="2">
        <v>25</v>
      </c>
      <c r="H69" s="2">
        <f t="shared" si="7"/>
        <v>0.9582484725050916</v>
      </c>
      <c r="I69" s="2">
        <f t="shared" si="8"/>
        <v>0.94791666666666663</v>
      </c>
      <c r="J69" s="2">
        <f t="shared" si="5"/>
        <v>0.9352380952380952</v>
      </c>
      <c r="K69" s="2">
        <f t="shared" si="6"/>
        <v>84.951388888888872</v>
      </c>
      <c r="L69" s="8">
        <f t="shared" si="9"/>
        <v>4.1751527494908347E-2</v>
      </c>
    </row>
    <row r="70" spans="1:12" x14ac:dyDescent="0.35">
      <c r="A70" s="2" t="s">
        <v>20</v>
      </c>
      <c r="B70" s="2" t="s">
        <v>12</v>
      </c>
      <c r="C70" s="2" t="s">
        <v>11</v>
      </c>
      <c r="D70" s="2">
        <v>950</v>
      </c>
      <c r="E70" s="2">
        <v>884</v>
      </c>
      <c r="F70" s="2">
        <v>16</v>
      </c>
      <c r="G70" s="2">
        <v>35</v>
      </c>
      <c r="H70" s="2">
        <f t="shared" si="7"/>
        <v>0.98190045248868774</v>
      </c>
      <c r="I70" s="2">
        <f t="shared" si="8"/>
        <v>0.92708333333333337</v>
      </c>
      <c r="J70" s="2">
        <f t="shared" si="5"/>
        <v>0.93052631578947365</v>
      </c>
      <c r="K70" s="2">
        <f t="shared" si="6"/>
        <v>84.706140350877192</v>
      </c>
      <c r="L70" s="8">
        <f t="shared" si="9"/>
        <v>1.8099547511312219E-2</v>
      </c>
    </row>
    <row r="71" spans="1:12" x14ac:dyDescent="0.35">
      <c r="A71" s="2" t="s">
        <v>20</v>
      </c>
      <c r="B71" s="2" t="s">
        <v>13</v>
      </c>
      <c r="C71" s="2" t="s">
        <v>9</v>
      </c>
      <c r="D71" s="2">
        <v>950</v>
      </c>
      <c r="E71" s="2">
        <v>914</v>
      </c>
      <c r="F71" s="2">
        <v>21</v>
      </c>
      <c r="G71" s="2">
        <v>12</v>
      </c>
      <c r="H71" s="2">
        <f t="shared" si="7"/>
        <v>0.97702407002188185</v>
      </c>
      <c r="I71" s="2">
        <f t="shared" si="8"/>
        <v>0.97499999999999998</v>
      </c>
      <c r="J71" s="2">
        <f t="shared" si="5"/>
        <v>0.96210526315789469</v>
      </c>
      <c r="K71" s="2">
        <f t="shared" si="6"/>
        <v>91.649999999999991</v>
      </c>
      <c r="L71" s="8">
        <f t="shared" si="9"/>
        <v>2.2975929978118162E-2</v>
      </c>
    </row>
    <row r="72" spans="1:12" x14ac:dyDescent="0.35">
      <c r="A72" s="2" t="s">
        <v>20</v>
      </c>
      <c r="B72" s="2" t="s">
        <v>13</v>
      </c>
      <c r="C72" s="2" t="s">
        <v>10</v>
      </c>
      <c r="D72" s="2">
        <v>900</v>
      </c>
      <c r="E72" s="2">
        <v>836</v>
      </c>
      <c r="F72" s="2">
        <v>10</v>
      </c>
      <c r="G72" s="2">
        <v>38</v>
      </c>
      <c r="H72" s="2">
        <f t="shared" si="7"/>
        <v>0.98803827751196172</v>
      </c>
      <c r="I72" s="2">
        <f t="shared" si="8"/>
        <v>0.92083333333333328</v>
      </c>
      <c r="J72" s="2">
        <f t="shared" si="5"/>
        <v>0.92888888888888888</v>
      </c>
      <c r="K72" s="2">
        <f t="shared" si="6"/>
        <v>84.512037037037032</v>
      </c>
      <c r="L72" s="8">
        <f t="shared" si="9"/>
        <v>1.1961722488038277E-2</v>
      </c>
    </row>
    <row r="73" spans="1:12" x14ac:dyDescent="0.35">
      <c r="A73" s="2" t="s">
        <v>20</v>
      </c>
      <c r="B73" s="2" t="s">
        <v>13</v>
      </c>
      <c r="C73" s="2" t="s">
        <v>11</v>
      </c>
      <c r="D73" s="2">
        <v>1100</v>
      </c>
      <c r="E73" s="2">
        <v>1093</v>
      </c>
      <c r="F73" s="2">
        <v>40</v>
      </c>
      <c r="G73" s="2">
        <v>56</v>
      </c>
      <c r="H73" s="2">
        <f t="shared" si="7"/>
        <v>0.96340347666971637</v>
      </c>
      <c r="I73" s="2">
        <f t="shared" si="8"/>
        <v>0.8833333333333333</v>
      </c>
      <c r="J73" s="2">
        <f t="shared" si="5"/>
        <v>0.99363636363636365</v>
      </c>
      <c r="K73" s="2">
        <f t="shared" si="6"/>
        <v>84.559090909090912</v>
      </c>
      <c r="L73" s="8">
        <f t="shared" si="9"/>
        <v>3.6596523330283626E-2</v>
      </c>
    </row>
    <row r="74" spans="1:12" x14ac:dyDescent="0.35">
      <c r="A74" s="2" t="s">
        <v>21</v>
      </c>
      <c r="B74" s="2" t="s">
        <v>8</v>
      </c>
      <c r="C74" s="2" t="s">
        <v>9</v>
      </c>
      <c r="D74" s="2">
        <v>900</v>
      </c>
      <c r="E74" s="2">
        <v>813</v>
      </c>
      <c r="F74" s="2">
        <v>32</v>
      </c>
      <c r="G74" s="2">
        <v>36</v>
      </c>
      <c r="H74" s="2">
        <f t="shared" si="7"/>
        <v>0.96063960639606394</v>
      </c>
      <c r="I74" s="2">
        <f t="shared" si="8"/>
        <v>0.92500000000000004</v>
      </c>
      <c r="J74" s="2">
        <f t="shared" si="5"/>
        <v>0.90333333333333332</v>
      </c>
      <c r="K74" s="2">
        <f t="shared" si="6"/>
        <v>80.269444444444431</v>
      </c>
      <c r="L74" s="8">
        <f t="shared" si="9"/>
        <v>3.9360393603936041E-2</v>
      </c>
    </row>
    <row r="75" spans="1:12" x14ac:dyDescent="0.35">
      <c r="A75" s="2" t="s">
        <v>21</v>
      </c>
      <c r="B75" s="2" t="s">
        <v>8</v>
      </c>
      <c r="C75" s="2" t="s">
        <v>10</v>
      </c>
      <c r="D75" s="2">
        <v>900</v>
      </c>
      <c r="E75" s="2">
        <v>828</v>
      </c>
      <c r="F75" s="2">
        <v>36</v>
      </c>
      <c r="G75" s="2">
        <v>18</v>
      </c>
      <c r="H75" s="2">
        <f t="shared" si="7"/>
        <v>0.95652173913043481</v>
      </c>
      <c r="I75" s="2">
        <f t="shared" si="8"/>
        <v>0.96250000000000002</v>
      </c>
      <c r="J75" s="2">
        <f t="shared" si="5"/>
        <v>0.92</v>
      </c>
      <c r="K75" s="2">
        <f t="shared" si="6"/>
        <v>84.7</v>
      </c>
      <c r="L75" s="8">
        <f t="shared" si="9"/>
        <v>4.3478260869565216E-2</v>
      </c>
    </row>
    <row r="76" spans="1:12" x14ac:dyDescent="0.35">
      <c r="A76" s="2" t="s">
        <v>21</v>
      </c>
      <c r="B76" s="2" t="s">
        <v>8</v>
      </c>
      <c r="C76" s="2" t="s">
        <v>11</v>
      </c>
      <c r="D76" s="2">
        <v>1100</v>
      </c>
      <c r="E76" s="2">
        <v>1045</v>
      </c>
      <c r="F76" s="2">
        <v>45</v>
      </c>
      <c r="G76" s="2">
        <v>58</v>
      </c>
      <c r="H76" s="2">
        <f t="shared" si="7"/>
        <v>0.9569377990430622</v>
      </c>
      <c r="I76" s="2">
        <f t="shared" si="8"/>
        <v>0.87916666666666665</v>
      </c>
      <c r="J76" s="2">
        <f t="shared" si="5"/>
        <v>0.95</v>
      </c>
      <c r="K76" s="2">
        <f t="shared" si="6"/>
        <v>79.924242424242408</v>
      </c>
      <c r="L76" s="8">
        <f t="shared" si="9"/>
        <v>4.3062200956937802E-2</v>
      </c>
    </row>
    <row r="77" spans="1:12" x14ac:dyDescent="0.35">
      <c r="A77" s="2" t="s">
        <v>21</v>
      </c>
      <c r="B77" s="2" t="s">
        <v>12</v>
      </c>
      <c r="C77" s="2" t="s">
        <v>9</v>
      </c>
      <c r="D77" s="2">
        <v>1000</v>
      </c>
      <c r="E77" s="2">
        <v>948</v>
      </c>
      <c r="F77" s="2">
        <v>40</v>
      </c>
      <c r="G77" s="2">
        <v>48</v>
      </c>
      <c r="H77" s="2">
        <f t="shared" si="7"/>
        <v>0.95780590717299574</v>
      </c>
      <c r="I77" s="2">
        <f t="shared" si="8"/>
        <v>0.9</v>
      </c>
      <c r="J77" s="2">
        <f t="shared" si="5"/>
        <v>0.94799999999999995</v>
      </c>
      <c r="K77" s="2">
        <f t="shared" si="6"/>
        <v>81.72</v>
      </c>
      <c r="L77" s="8">
        <f t="shared" si="9"/>
        <v>4.2194092827004218E-2</v>
      </c>
    </row>
    <row r="78" spans="1:12" x14ac:dyDescent="0.35">
      <c r="A78" s="2" t="s">
        <v>21</v>
      </c>
      <c r="B78" s="2" t="s">
        <v>12</v>
      </c>
      <c r="C78" s="2" t="s">
        <v>10</v>
      </c>
      <c r="D78" s="2">
        <v>1100</v>
      </c>
      <c r="E78" s="2">
        <v>1004</v>
      </c>
      <c r="F78" s="2">
        <v>21</v>
      </c>
      <c r="G78" s="2">
        <v>2</v>
      </c>
      <c r="H78" s="2">
        <f t="shared" si="7"/>
        <v>0.97908366533864544</v>
      </c>
      <c r="I78" s="2">
        <f t="shared" si="8"/>
        <v>0.99583333333333335</v>
      </c>
      <c r="J78" s="2">
        <f t="shared" si="5"/>
        <v>0.91272727272727272</v>
      </c>
      <c r="K78" s="2">
        <f t="shared" si="6"/>
        <v>88.991287878787887</v>
      </c>
      <c r="L78" s="8">
        <f t="shared" si="9"/>
        <v>2.091633466135458E-2</v>
      </c>
    </row>
    <row r="79" spans="1:12" x14ac:dyDescent="0.35">
      <c r="A79" s="2" t="s">
        <v>21</v>
      </c>
      <c r="B79" s="2" t="s">
        <v>12</v>
      </c>
      <c r="C79" s="2" t="s">
        <v>11</v>
      </c>
      <c r="D79" s="2">
        <v>1100</v>
      </c>
      <c r="E79" s="2">
        <v>1099</v>
      </c>
      <c r="F79" s="2">
        <v>50</v>
      </c>
      <c r="G79" s="2">
        <v>8</v>
      </c>
      <c r="H79" s="2">
        <f t="shared" si="7"/>
        <v>0.95450409463148311</v>
      </c>
      <c r="I79" s="2">
        <f t="shared" si="8"/>
        <v>0.98333333333333328</v>
      </c>
      <c r="J79" s="2">
        <f t="shared" si="5"/>
        <v>0.99909090909090914</v>
      </c>
      <c r="K79" s="2">
        <f t="shared" si="6"/>
        <v>93.774242424242416</v>
      </c>
      <c r="L79" s="8">
        <f t="shared" si="9"/>
        <v>4.5495905368516831E-2</v>
      </c>
    </row>
    <row r="80" spans="1:12" x14ac:dyDescent="0.35">
      <c r="A80" s="2" t="s">
        <v>21</v>
      </c>
      <c r="B80" s="2" t="s">
        <v>13</v>
      </c>
      <c r="C80" s="2" t="s">
        <v>9</v>
      </c>
      <c r="D80" s="2">
        <v>1100</v>
      </c>
      <c r="E80" s="2">
        <v>1092</v>
      </c>
      <c r="F80" s="2">
        <v>48</v>
      </c>
      <c r="G80" s="2">
        <v>37</v>
      </c>
      <c r="H80" s="2">
        <f t="shared" si="7"/>
        <v>0.95604395604395609</v>
      </c>
      <c r="I80" s="2">
        <f t="shared" si="8"/>
        <v>0.92291666666666672</v>
      </c>
      <c r="J80" s="2">
        <f t="shared" si="5"/>
        <v>0.99272727272727268</v>
      </c>
      <c r="K80" s="2">
        <f t="shared" si="6"/>
        <v>87.593181818181819</v>
      </c>
      <c r="L80" s="8">
        <f t="shared" si="9"/>
        <v>4.3956043956043959E-2</v>
      </c>
    </row>
    <row r="81" spans="1:12" x14ac:dyDescent="0.35">
      <c r="A81" s="2" t="s">
        <v>21</v>
      </c>
      <c r="B81" s="2" t="s">
        <v>13</v>
      </c>
      <c r="C81" s="2" t="s">
        <v>10</v>
      </c>
      <c r="D81" s="2">
        <v>1100</v>
      </c>
      <c r="E81" s="2">
        <v>988</v>
      </c>
      <c r="F81" s="2">
        <v>37</v>
      </c>
      <c r="G81" s="2">
        <v>12</v>
      </c>
      <c r="H81" s="2">
        <f t="shared" si="7"/>
        <v>0.96255060728744934</v>
      </c>
      <c r="I81" s="2">
        <f t="shared" si="8"/>
        <v>0.97499999999999998</v>
      </c>
      <c r="J81" s="2">
        <f t="shared" si="5"/>
        <v>0.89818181818181819</v>
      </c>
      <c r="K81" s="2">
        <f t="shared" si="6"/>
        <v>84.293181818181822</v>
      </c>
      <c r="L81" s="8">
        <f t="shared" si="9"/>
        <v>3.7449392712550607E-2</v>
      </c>
    </row>
    <row r="82" spans="1:12" x14ac:dyDescent="0.35">
      <c r="A82" s="2" t="s">
        <v>21</v>
      </c>
      <c r="B82" s="2" t="s">
        <v>13</v>
      </c>
      <c r="C82" s="2" t="s">
        <v>11</v>
      </c>
      <c r="D82" s="2">
        <v>1100</v>
      </c>
      <c r="E82" s="2">
        <v>1054</v>
      </c>
      <c r="F82" s="2">
        <v>13</v>
      </c>
      <c r="G82" s="2">
        <v>27</v>
      </c>
      <c r="H82" s="2">
        <f t="shared" si="7"/>
        <v>0.98766603415559773</v>
      </c>
      <c r="I82" s="2">
        <f t="shared" si="8"/>
        <v>0.94374999999999998</v>
      </c>
      <c r="J82" s="2">
        <f t="shared" si="5"/>
        <v>0.95818181818181813</v>
      </c>
      <c r="K82" s="2">
        <f t="shared" si="6"/>
        <v>89.313068181818181</v>
      </c>
      <c r="L82" s="8">
        <f t="shared" si="9"/>
        <v>1.2333965844402278E-2</v>
      </c>
    </row>
    <row r="83" spans="1:12" x14ac:dyDescent="0.35">
      <c r="A83" s="2" t="s">
        <v>22</v>
      </c>
      <c r="B83" s="2" t="s">
        <v>8</v>
      </c>
      <c r="C83" s="2" t="s">
        <v>9</v>
      </c>
      <c r="D83" s="2">
        <v>1050</v>
      </c>
      <c r="E83" s="2">
        <v>985</v>
      </c>
      <c r="F83" s="2">
        <v>25</v>
      </c>
      <c r="G83" s="2">
        <v>23</v>
      </c>
      <c r="H83" s="2">
        <f t="shared" si="7"/>
        <v>0.97461928934010156</v>
      </c>
      <c r="I83" s="2">
        <f t="shared" si="8"/>
        <v>0.95208333333333328</v>
      </c>
      <c r="J83" s="2">
        <f t="shared" si="5"/>
        <v>0.93809523809523809</v>
      </c>
      <c r="K83" s="2">
        <f t="shared" si="6"/>
        <v>87.047619047619037</v>
      </c>
      <c r="L83" s="8">
        <f t="shared" si="9"/>
        <v>2.5380710659898477E-2</v>
      </c>
    </row>
    <row r="84" spans="1:12" x14ac:dyDescent="0.35">
      <c r="A84" s="2" t="s">
        <v>22</v>
      </c>
      <c r="B84" s="2" t="s">
        <v>8</v>
      </c>
      <c r="C84" s="2" t="s">
        <v>10</v>
      </c>
      <c r="D84" s="2">
        <v>900</v>
      </c>
      <c r="E84" s="2">
        <v>899</v>
      </c>
      <c r="F84" s="2">
        <v>7</v>
      </c>
      <c r="G84" s="2">
        <v>19</v>
      </c>
      <c r="H84" s="2">
        <f t="shared" si="7"/>
        <v>0.99221357063403781</v>
      </c>
      <c r="I84" s="2">
        <f t="shared" si="8"/>
        <v>0.9604166666666667</v>
      </c>
      <c r="J84" s="2">
        <f t="shared" si="5"/>
        <v>0.99888888888888894</v>
      </c>
      <c r="K84" s="2">
        <f t="shared" si="6"/>
        <v>95.18796296296297</v>
      </c>
      <c r="L84" s="8">
        <f t="shared" si="9"/>
        <v>7.7864293659621799E-3</v>
      </c>
    </row>
    <row r="85" spans="1:12" x14ac:dyDescent="0.35">
      <c r="A85" s="2" t="s">
        <v>22</v>
      </c>
      <c r="B85" s="2" t="s">
        <v>8</v>
      </c>
      <c r="C85" s="2" t="s">
        <v>11</v>
      </c>
      <c r="D85" s="2">
        <v>1000</v>
      </c>
      <c r="E85" s="2">
        <v>910</v>
      </c>
      <c r="F85" s="2">
        <v>23</v>
      </c>
      <c r="G85" s="2">
        <v>38</v>
      </c>
      <c r="H85" s="2">
        <f t="shared" si="7"/>
        <v>0.9747252747252747</v>
      </c>
      <c r="I85" s="2">
        <f t="shared" si="8"/>
        <v>0.92083333333333328</v>
      </c>
      <c r="J85" s="2">
        <f t="shared" si="5"/>
        <v>0.91</v>
      </c>
      <c r="K85" s="2">
        <f t="shared" si="6"/>
        <v>81.677916666666661</v>
      </c>
      <c r="L85" s="8">
        <f t="shared" si="9"/>
        <v>2.5274725274725275E-2</v>
      </c>
    </row>
    <row r="86" spans="1:12" x14ac:dyDescent="0.35">
      <c r="A86" s="2" t="s">
        <v>22</v>
      </c>
      <c r="B86" s="2" t="s">
        <v>12</v>
      </c>
      <c r="C86" s="2" t="s">
        <v>9</v>
      </c>
      <c r="D86" s="2">
        <v>900</v>
      </c>
      <c r="E86" s="2">
        <v>799</v>
      </c>
      <c r="F86" s="2">
        <v>33</v>
      </c>
      <c r="G86" s="2">
        <v>46</v>
      </c>
      <c r="H86" s="2">
        <f t="shared" si="7"/>
        <v>0.95869837296620775</v>
      </c>
      <c r="I86" s="2">
        <f t="shared" si="8"/>
        <v>0.90416666666666667</v>
      </c>
      <c r="J86" s="2">
        <f t="shared" si="5"/>
        <v>0.88777777777777778</v>
      </c>
      <c r="K86" s="2">
        <f t="shared" si="6"/>
        <v>76.954629629629636</v>
      </c>
      <c r="L86" s="8">
        <f t="shared" si="9"/>
        <v>4.130162703379224E-2</v>
      </c>
    </row>
    <row r="87" spans="1:12" x14ac:dyDescent="0.35">
      <c r="A87" s="2" t="s">
        <v>22</v>
      </c>
      <c r="B87" s="2" t="s">
        <v>12</v>
      </c>
      <c r="C87" s="2" t="s">
        <v>10</v>
      </c>
      <c r="D87" s="2">
        <v>950</v>
      </c>
      <c r="E87" s="2">
        <v>864</v>
      </c>
      <c r="F87" s="2">
        <v>37</v>
      </c>
      <c r="G87" s="2">
        <v>4</v>
      </c>
      <c r="H87" s="2">
        <f t="shared" si="7"/>
        <v>0.95717592592592593</v>
      </c>
      <c r="I87" s="2">
        <f t="shared" si="8"/>
        <v>0.9916666666666667</v>
      </c>
      <c r="J87" s="2">
        <f t="shared" si="5"/>
        <v>0.90947368421052632</v>
      </c>
      <c r="K87" s="2">
        <f t="shared" si="6"/>
        <v>86.32719298245614</v>
      </c>
      <c r="L87" s="8">
        <f t="shared" si="9"/>
        <v>4.2824074074074077E-2</v>
      </c>
    </row>
    <row r="88" spans="1:12" x14ac:dyDescent="0.35">
      <c r="A88" s="2" t="s">
        <v>22</v>
      </c>
      <c r="B88" s="2" t="s">
        <v>12</v>
      </c>
      <c r="C88" s="2" t="s">
        <v>11</v>
      </c>
      <c r="D88" s="2">
        <v>1000</v>
      </c>
      <c r="E88" s="2">
        <v>888</v>
      </c>
      <c r="F88" s="2">
        <v>26</v>
      </c>
      <c r="G88" s="2">
        <v>48</v>
      </c>
      <c r="H88" s="2">
        <f t="shared" si="7"/>
        <v>0.97072072072072069</v>
      </c>
      <c r="I88" s="2">
        <f t="shared" si="8"/>
        <v>0.9</v>
      </c>
      <c r="J88" s="2">
        <f t="shared" si="5"/>
        <v>0.88800000000000001</v>
      </c>
      <c r="K88" s="2">
        <f t="shared" si="6"/>
        <v>77.58</v>
      </c>
      <c r="L88" s="8">
        <f t="shared" si="9"/>
        <v>2.9279279279279279E-2</v>
      </c>
    </row>
    <row r="89" spans="1:12" x14ac:dyDescent="0.35">
      <c r="A89" s="2" t="s">
        <v>22</v>
      </c>
      <c r="B89" s="2" t="s">
        <v>13</v>
      </c>
      <c r="C89" s="2" t="s">
        <v>9</v>
      </c>
      <c r="D89" s="2">
        <v>1050</v>
      </c>
      <c r="E89" s="2">
        <v>974</v>
      </c>
      <c r="F89" s="2">
        <v>27</v>
      </c>
      <c r="G89" s="2">
        <v>53</v>
      </c>
      <c r="H89" s="2">
        <f t="shared" si="7"/>
        <v>0.97227926078028748</v>
      </c>
      <c r="I89" s="2">
        <f t="shared" si="8"/>
        <v>0.88958333333333328</v>
      </c>
      <c r="J89" s="2">
        <f t="shared" si="5"/>
        <v>0.92761904761904757</v>
      </c>
      <c r="K89" s="2">
        <f t="shared" si="6"/>
        <v>80.231944444444437</v>
      </c>
      <c r="L89" s="8">
        <f t="shared" si="9"/>
        <v>2.7720739219712527E-2</v>
      </c>
    </row>
    <row r="90" spans="1:12" x14ac:dyDescent="0.35">
      <c r="A90" s="2" t="s">
        <v>22</v>
      </c>
      <c r="B90" s="2" t="s">
        <v>13</v>
      </c>
      <c r="C90" s="2" t="s">
        <v>10</v>
      </c>
      <c r="D90" s="2">
        <v>900</v>
      </c>
      <c r="E90" s="2">
        <v>793</v>
      </c>
      <c r="F90" s="2">
        <v>36</v>
      </c>
      <c r="G90" s="2">
        <v>59</v>
      </c>
      <c r="H90" s="2">
        <f t="shared" si="7"/>
        <v>0.95460277427490547</v>
      </c>
      <c r="I90" s="2">
        <f t="shared" si="8"/>
        <v>0.87708333333333333</v>
      </c>
      <c r="J90" s="2">
        <f t="shared" si="5"/>
        <v>0.88111111111111107</v>
      </c>
      <c r="K90" s="2">
        <f t="shared" si="6"/>
        <v>73.772453703703704</v>
      </c>
      <c r="L90" s="8">
        <f t="shared" si="9"/>
        <v>4.5397225725094581E-2</v>
      </c>
    </row>
    <row r="91" spans="1:12" x14ac:dyDescent="0.35">
      <c r="A91" s="2" t="s">
        <v>22</v>
      </c>
      <c r="B91" s="2" t="s">
        <v>13</v>
      </c>
      <c r="C91" s="2" t="s">
        <v>11</v>
      </c>
      <c r="D91" s="2">
        <v>1000</v>
      </c>
      <c r="E91" s="2">
        <v>945</v>
      </c>
      <c r="F91" s="2">
        <v>19</v>
      </c>
      <c r="G91" s="2">
        <v>2</v>
      </c>
      <c r="H91" s="2">
        <f t="shared" si="7"/>
        <v>0.97989417989417993</v>
      </c>
      <c r="I91" s="2">
        <f t="shared" si="8"/>
        <v>0.99583333333333335</v>
      </c>
      <c r="J91" s="2">
        <f t="shared" si="5"/>
        <v>0.94499999999999995</v>
      </c>
      <c r="K91" s="2">
        <f t="shared" si="6"/>
        <v>92.214166666666671</v>
      </c>
      <c r="L91" s="8">
        <f t="shared" si="9"/>
        <v>2.0105820105820106E-2</v>
      </c>
    </row>
    <row r="92" spans="1:12" x14ac:dyDescent="0.35">
      <c r="A92" s="2" t="s">
        <v>23</v>
      </c>
      <c r="B92" s="2" t="s">
        <v>8</v>
      </c>
      <c r="C92" s="2" t="s">
        <v>9</v>
      </c>
      <c r="D92" s="2">
        <v>1100</v>
      </c>
      <c r="E92" s="2">
        <v>1078</v>
      </c>
      <c r="F92" s="2">
        <v>32</v>
      </c>
      <c r="G92" s="2">
        <v>7</v>
      </c>
      <c r="H92" s="2">
        <f t="shared" si="7"/>
        <v>0.9703153988868275</v>
      </c>
      <c r="I92" s="2">
        <f t="shared" si="8"/>
        <v>0.98541666666666672</v>
      </c>
      <c r="J92" s="2">
        <f t="shared" ref="J92:J155" si="10">(E92/D92)</f>
        <v>0.98</v>
      </c>
      <c r="K92" s="2">
        <f t="shared" ref="K92:K155" si="11">(H92*I92*J92) *100</f>
        <v>93.70416666666668</v>
      </c>
      <c r="L92" s="8">
        <f t="shared" si="9"/>
        <v>2.9684601113172542E-2</v>
      </c>
    </row>
    <row r="93" spans="1:12" x14ac:dyDescent="0.35">
      <c r="A93" s="2" t="s">
        <v>23</v>
      </c>
      <c r="B93" s="2" t="s">
        <v>8</v>
      </c>
      <c r="C93" s="2" t="s">
        <v>10</v>
      </c>
      <c r="D93" s="2">
        <v>1000</v>
      </c>
      <c r="E93" s="2">
        <v>911</v>
      </c>
      <c r="F93" s="2">
        <v>39</v>
      </c>
      <c r="G93" s="2">
        <v>5</v>
      </c>
      <c r="H93" s="2">
        <f t="shared" si="7"/>
        <v>0.95718990120746428</v>
      </c>
      <c r="I93" s="2">
        <f t="shared" si="8"/>
        <v>0.98958333333333337</v>
      </c>
      <c r="J93" s="2">
        <f t="shared" si="10"/>
        <v>0.91100000000000003</v>
      </c>
      <c r="K93" s="2">
        <f t="shared" si="11"/>
        <v>86.291666666666671</v>
      </c>
      <c r="L93" s="8">
        <f t="shared" si="9"/>
        <v>4.2810098792535674E-2</v>
      </c>
    </row>
    <row r="94" spans="1:12" x14ac:dyDescent="0.35">
      <c r="A94" s="2" t="s">
        <v>23</v>
      </c>
      <c r="B94" s="2" t="s">
        <v>8</v>
      </c>
      <c r="C94" s="2" t="s">
        <v>11</v>
      </c>
      <c r="D94" s="2">
        <v>950</v>
      </c>
      <c r="E94" s="2">
        <v>889</v>
      </c>
      <c r="F94" s="2">
        <v>41</v>
      </c>
      <c r="G94" s="2">
        <v>47</v>
      </c>
      <c r="H94" s="2">
        <f t="shared" si="7"/>
        <v>0.953880764904387</v>
      </c>
      <c r="I94" s="2">
        <f t="shared" si="8"/>
        <v>0.90208333333333335</v>
      </c>
      <c r="J94" s="2">
        <f t="shared" si="10"/>
        <v>0.9357894736842105</v>
      </c>
      <c r="K94" s="2">
        <f t="shared" si="11"/>
        <v>80.522807017543869</v>
      </c>
      <c r="L94" s="8">
        <f t="shared" si="9"/>
        <v>4.6119235095613047E-2</v>
      </c>
    </row>
    <row r="95" spans="1:12" x14ac:dyDescent="0.35">
      <c r="A95" s="2" t="s">
        <v>23</v>
      </c>
      <c r="B95" s="2" t="s">
        <v>12</v>
      </c>
      <c r="C95" s="2" t="s">
        <v>9</v>
      </c>
      <c r="D95" s="2">
        <v>950</v>
      </c>
      <c r="E95" s="2">
        <v>833</v>
      </c>
      <c r="F95" s="2">
        <v>5</v>
      </c>
      <c r="G95" s="2">
        <v>22</v>
      </c>
      <c r="H95" s="2">
        <f t="shared" si="7"/>
        <v>0.99399759903961582</v>
      </c>
      <c r="I95" s="2">
        <f t="shared" si="8"/>
        <v>0.95416666666666672</v>
      </c>
      <c r="J95" s="2">
        <f t="shared" si="10"/>
        <v>0.87684210526315787</v>
      </c>
      <c r="K95" s="2">
        <f t="shared" si="11"/>
        <v>83.163157894736841</v>
      </c>
      <c r="L95" s="8">
        <f t="shared" si="9"/>
        <v>6.0024009603841539E-3</v>
      </c>
    </row>
    <row r="96" spans="1:12" x14ac:dyDescent="0.35">
      <c r="A96" s="2" t="s">
        <v>23</v>
      </c>
      <c r="B96" s="2" t="s">
        <v>12</v>
      </c>
      <c r="C96" s="2" t="s">
        <v>10</v>
      </c>
      <c r="D96" s="2">
        <v>900</v>
      </c>
      <c r="E96" s="2">
        <v>797</v>
      </c>
      <c r="F96" s="2">
        <v>36</v>
      </c>
      <c r="G96" s="2">
        <v>36</v>
      </c>
      <c r="H96" s="2">
        <f t="shared" si="7"/>
        <v>0.95483061480552067</v>
      </c>
      <c r="I96" s="2">
        <f t="shared" si="8"/>
        <v>0.92500000000000004</v>
      </c>
      <c r="J96" s="2">
        <f t="shared" si="10"/>
        <v>0.88555555555555554</v>
      </c>
      <c r="K96" s="2">
        <f t="shared" si="11"/>
        <v>78.213888888888889</v>
      </c>
      <c r="L96" s="8">
        <f t="shared" si="9"/>
        <v>4.51693851944793E-2</v>
      </c>
    </row>
    <row r="97" spans="1:12" x14ac:dyDescent="0.35">
      <c r="A97" s="2" t="s">
        <v>23</v>
      </c>
      <c r="B97" s="2" t="s">
        <v>12</v>
      </c>
      <c r="C97" s="2" t="s">
        <v>11</v>
      </c>
      <c r="D97" s="2">
        <v>1050</v>
      </c>
      <c r="E97" s="2">
        <v>986</v>
      </c>
      <c r="F97" s="2">
        <v>44</v>
      </c>
      <c r="G97" s="2">
        <v>24</v>
      </c>
      <c r="H97" s="2">
        <f t="shared" si="7"/>
        <v>0.95537525354969577</v>
      </c>
      <c r="I97" s="2">
        <f t="shared" si="8"/>
        <v>0.95</v>
      </c>
      <c r="J97" s="2">
        <f t="shared" si="10"/>
        <v>0.93904761904761902</v>
      </c>
      <c r="K97" s="2">
        <f t="shared" si="11"/>
        <v>85.228571428571414</v>
      </c>
      <c r="L97" s="8">
        <f t="shared" si="9"/>
        <v>4.4624746450304259E-2</v>
      </c>
    </row>
    <row r="98" spans="1:12" x14ac:dyDescent="0.35">
      <c r="A98" s="2" t="s">
        <v>23</v>
      </c>
      <c r="B98" s="2" t="s">
        <v>13</v>
      </c>
      <c r="C98" s="2" t="s">
        <v>9</v>
      </c>
      <c r="D98" s="2">
        <v>1050</v>
      </c>
      <c r="E98" s="2">
        <v>1040</v>
      </c>
      <c r="F98" s="2">
        <v>41</v>
      </c>
      <c r="G98" s="2">
        <v>30</v>
      </c>
      <c r="H98" s="2">
        <f t="shared" si="7"/>
        <v>0.96057692307692311</v>
      </c>
      <c r="I98" s="2">
        <f t="shared" si="8"/>
        <v>0.9375</v>
      </c>
      <c r="J98" s="2">
        <f t="shared" si="10"/>
        <v>0.99047619047619051</v>
      </c>
      <c r="K98" s="2">
        <f t="shared" si="11"/>
        <v>89.196428571428584</v>
      </c>
      <c r="L98" s="8">
        <f t="shared" si="9"/>
        <v>3.9423076923076922E-2</v>
      </c>
    </row>
    <row r="99" spans="1:12" x14ac:dyDescent="0.35">
      <c r="A99" s="2" t="s">
        <v>23</v>
      </c>
      <c r="B99" s="2" t="s">
        <v>13</v>
      </c>
      <c r="C99" s="2" t="s">
        <v>10</v>
      </c>
      <c r="D99" s="2">
        <v>1100</v>
      </c>
      <c r="E99" s="2">
        <v>1006</v>
      </c>
      <c r="F99" s="2">
        <v>7</v>
      </c>
      <c r="G99" s="2">
        <v>3</v>
      </c>
      <c r="H99" s="2">
        <f t="shared" si="7"/>
        <v>0.99304174950298207</v>
      </c>
      <c r="I99" s="2">
        <f t="shared" si="8"/>
        <v>0.99375000000000002</v>
      </c>
      <c r="J99" s="2">
        <f t="shared" si="10"/>
        <v>0.91454545454545455</v>
      </c>
      <c r="K99" s="2">
        <f t="shared" si="11"/>
        <v>90.250568181818181</v>
      </c>
      <c r="L99" s="8">
        <f t="shared" si="9"/>
        <v>6.958250497017893E-3</v>
      </c>
    </row>
    <row r="100" spans="1:12" x14ac:dyDescent="0.35">
      <c r="A100" s="2" t="s">
        <v>23</v>
      </c>
      <c r="B100" s="2" t="s">
        <v>13</v>
      </c>
      <c r="C100" s="2" t="s">
        <v>11</v>
      </c>
      <c r="D100" s="2">
        <v>950</v>
      </c>
      <c r="E100" s="2">
        <v>833</v>
      </c>
      <c r="F100" s="2">
        <v>20</v>
      </c>
      <c r="G100" s="2">
        <v>3</v>
      </c>
      <c r="H100" s="2">
        <f t="shared" si="7"/>
        <v>0.97599039615846339</v>
      </c>
      <c r="I100" s="2">
        <f t="shared" si="8"/>
        <v>0.99375000000000002</v>
      </c>
      <c r="J100" s="2">
        <f t="shared" si="10"/>
        <v>0.87684210526315787</v>
      </c>
      <c r="K100" s="2">
        <f t="shared" si="11"/>
        <v>85.044078947368433</v>
      </c>
      <c r="L100" s="8">
        <f t="shared" si="9"/>
        <v>2.4009603841536616E-2</v>
      </c>
    </row>
    <row r="101" spans="1:12" x14ac:dyDescent="0.35">
      <c r="A101" s="2" t="s">
        <v>24</v>
      </c>
      <c r="B101" s="2" t="s">
        <v>8</v>
      </c>
      <c r="C101" s="2" t="s">
        <v>9</v>
      </c>
      <c r="D101" s="2">
        <v>1000</v>
      </c>
      <c r="E101" s="2">
        <v>989</v>
      </c>
      <c r="F101" s="2">
        <v>38</v>
      </c>
      <c r="G101" s="2">
        <v>18</v>
      </c>
      <c r="H101" s="2">
        <f t="shared" si="7"/>
        <v>0.96157735085945395</v>
      </c>
      <c r="I101" s="2">
        <f t="shared" si="8"/>
        <v>0.96250000000000002</v>
      </c>
      <c r="J101" s="2">
        <f t="shared" si="10"/>
        <v>0.98899999999999999</v>
      </c>
      <c r="K101" s="2">
        <f t="shared" si="11"/>
        <v>91.533749999999998</v>
      </c>
      <c r="L101" s="8">
        <f t="shared" si="9"/>
        <v>3.8422649140546009E-2</v>
      </c>
    </row>
    <row r="102" spans="1:12" x14ac:dyDescent="0.35">
      <c r="A102" s="2" t="s">
        <v>24</v>
      </c>
      <c r="B102" s="2" t="s">
        <v>8</v>
      </c>
      <c r="C102" s="2" t="s">
        <v>10</v>
      </c>
      <c r="D102" s="2">
        <v>950</v>
      </c>
      <c r="E102" s="2">
        <v>877</v>
      </c>
      <c r="F102" s="2">
        <v>43</v>
      </c>
      <c r="G102" s="2">
        <v>34</v>
      </c>
      <c r="H102" s="2">
        <f t="shared" si="7"/>
        <v>0.95096921322690997</v>
      </c>
      <c r="I102" s="2">
        <f t="shared" si="8"/>
        <v>0.9291666666666667</v>
      </c>
      <c r="J102" s="2">
        <f t="shared" si="10"/>
        <v>0.92315789473684207</v>
      </c>
      <c r="K102" s="2">
        <f t="shared" si="11"/>
        <v>81.571052631578951</v>
      </c>
      <c r="L102" s="8">
        <f t="shared" si="9"/>
        <v>4.9030786773090078E-2</v>
      </c>
    </row>
    <row r="103" spans="1:12" x14ac:dyDescent="0.35">
      <c r="A103" s="2" t="s">
        <v>24</v>
      </c>
      <c r="B103" s="2" t="s">
        <v>8</v>
      </c>
      <c r="C103" s="2" t="s">
        <v>11</v>
      </c>
      <c r="D103" s="2">
        <v>1000</v>
      </c>
      <c r="E103" s="2">
        <v>998</v>
      </c>
      <c r="F103" s="2">
        <v>29</v>
      </c>
      <c r="G103" s="2">
        <v>10</v>
      </c>
      <c r="H103" s="2">
        <f t="shared" si="7"/>
        <v>0.9709418837675351</v>
      </c>
      <c r="I103" s="2">
        <f t="shared" si="8"/>
        <v>0.97916666666666663</v>
      </c>
      <c r="J103" s="2">
        <f t="shared" si="10"/>
        <v>0.998</v>
      </c>
      <c r="K103" s="2">
        <f t="shared" si="11"/>
        <v>94.881249999999994</v>
      </c>
      <c r="L103" s="8">
        <f t="shared" si="9"/>
        <v>2.9058116232464931E-2</v>
      </c>
    </row>
    <row r="104" spans="1:12" x14ac:dyDescent="0.35">
      <c r="A104" s="2" t="s">
        <v>24</v>
      </c>
      <c r="B104" s="2" t="s">
        <v>12</v>
      </c>
      <c r="C104" s="2" t="s">
        <v>9</v>
      </c>
      <c r="D104" s="2">
        <v>900</v>
      </c>
      <c r="E104" s="2">
        <v>792</v>
      </c>
      <c r="F104" s="2">
        <v>15</v>
      </c>
      <c r="G104" s="2">
        <v>49</v>
      </c>
      <c r="H104" s="2">
        <f t="shared" si="7"/>
        <v>0.98106060606060608</v>
      </c>
      <c r="I104" s="2">
        <f t="shared" si="8"/>
        <v>0.8979166666666667</v>
      </c>
      <c r="J104" s="2">
        <f t="shared" si="10"/>
        <v>0.88</v>
      </c>
      <c r="K104" s="2">
        <f t="shared" si="11"/>
        <v>77.520138888888894</v>
      </c>
      <c r="L104" s="8">
        <f t="shared" si="9"/>
        <v>1.893939393939394E-2</v>
      </c>
    </row>
    <row r="105" spans="1:12" x14ac:dyDescent="0.35">
      <c r="A105" s="2" t="s">
        <v>24</v>
      </c>
      <c r="B105" s="2" t="s">
        <v>12</v>
      </c>
      <c r="C105" s="2" t="s">
        <v>10</v>
      </c>
      <c r="D105" s="2">
        <v>1100</v>
      </c>
      <c r="E105" s="2">
        <v>1070</v>
      </c>
      <c r="F105" s="2">
        <v>43</v>
      </c>
      <c r="G105" s="2">
        <v>43</v>
      </c>
      <c r="H105" s="2">
        <f t="shared" si="7"/>
        <v>0.95981308411214949</v>
      </c>
      <c r="I105" s="2">
        <f t="shared" si="8"/>
        <v>0.91041666666666665</v>
      </c>
      <c r="J105" s="2">
        <f t="shared" si="10"/>
        <v>0.97272727272727277</v>
      </c>
      <c r="K105" s="2">
        <f t="shared" si="11"/>
        <v>84.999810606060606</v>
      </c>
      <c r="L105" s="8">
        <f t="shared" si="9"/>
        <v>4.018691588785047E-2</v>
      </c>
    </row>
    <row r="106" spans="1:12" x14ac:dyDescent="0.35">
      <c r="A106" s="2" t="s">
        <v>24</v>
      </c>
      <c r="B106" s="2" t="s">
        <v>12</v>
      </c>
      <c r="C106" s="2" t="s">
        <v>11</v>
      </c>
      <c r="D106" s="2">
        <v>1000</v>
      </c>
      <c r="E106" s="2">
        <v>976</v>
      </c>
      <c r="F106" s="2">
        <v>7</v>
      </c>
      <c r="G106" s="2">
        <v>55</v>
      </c>
      <c r="H106" s="2">
        <f t="shared" si="7"/>
        <v>0.99282786885245899</v>
      </c>
      <c r="I106" s="2">
        <f t="shared" si="8"/>
        <v>0.88541666666666663</v>
      </c>
      <c r="J106" s="2">
        <f t="shared" si="10"/>
        <v>0.97599999999999998</v>
      </c>
      <c r="K106" s="2">
        <f t="shared" si="11"/>
        <v>85.796875</v>
      </c>
      <c r="L106" s="8">
        <f t="shared" si="9"/>
        <v>7.1721311475409838E-3</v>
      </c>
    </row>
    <row r="107" spans="1:12" x14ac:dyDescent="0.35">
      <c r="A107" s="2" t="s">
        <v>24</v>
      </c>
      <c r="B107" s="2" t="s">
        <v>13</v>
      </c>
      <c r="C107" s="2" t="s">
        <v>9</v>
      </c>
      <c r="D107" s="2">
        <v>950</v>
      </c>
      <c r="E107" s="2">
        <v>889</v>
      </c>
      <c r="F107" s="2">
        <v>24</v>
      </c>
      <c r="G107" s="2">
        <v>24</v>
      </c>
      <c r="H107" s="2">
        <f t="shared" si="7"/>
        <v>0.97300337457817776</v>
      </c>
      <c r="I107" s="2">
        <f t="shared" si="8"/>
        <v>0.95</v>
      </c>
      <c r="J107" s="2">
        <f t="shared" si="10"/>
        <v>0.9357894736842105</v>
      </c>
      <c r="K107" s="2">
        <f t="shared" si="11"/>
        <v>86.5</v>
      </c>
      <c r="L107" s="8">
        <f t="shared" si="9"/>
        <v>2.6996625421822271E-2</v>
      </c>
    </row>
    <row r="108" spans="1:12" x14ac:dyDescent="0.35">
      <c r="A108" s="2" t="s">
        <v>24</v>
      </c>
      <c r="B108" s="2" t="s">
        <v>13</v>
      </c>
      <c r="C108" s="2" t="s">
        <v>10</v>
      </c>
      <c r="D108" s="2">
        <v>1050</v>
      </c>
      <c r="E108" s="2">
        <v>1016</v>
      </c>
      <c r="F108" s="2">
        <v>35</v>
      </c>
      <c r="G108" s="2">
        <v>7</v>
      </c>
      <c r="H108" s="2">
        <f t="shared" si="7"/>
        <v>0.96555118110236215</v>
      </c>
      <c r="I108" s="2">
        <f t="shared" si="8"/>
        <v>0.98541666666666672</v>
      </c>
      <c r="J108" s="2">
        <f t="shared" si="10"/>
        <v>0.9676190476190476</v>
      </c>
      <c r="K108" s="2">
        <f t="shared" si="11"/>
        <v>92.066071428571433</v>
      </c>
      <c r="L108" s="8">
        <f t="shared" si="9"/>
        <v>3.4448818897637797E-2</v>
      </c>
    </row>
    <row r="109" spans="1:12" x14ac:dyDescent="0.35">
      <c r="A109" s="2" t="s">
        <v>24</v>
      </c>
      <c r="B109" s="2" t="s">
        <v>13</v>
      </c>
      <c r="C109" s="2" t="s">
        <v>11</v>
      </c>
      <c r="D109" s="2">
        <v>1050</v>
      </c>
      <c r="E109" s="2">
        <v>960</v>
      </c>
      <c r="F109" s="2">
        <v>34</v>
      </c>
      <c r="G109" s="2">
        <v>10</v>
      </c>
      <c r="H109" s="2">
        <f t="shared" si="7"/>
        <v>0.96458333333333335</v>
      </c>
      <c r="I109" s="2">
        <f t="shared" si="8"/>
        <v>0.97916666666666663</v>
      </c>
      <c r="J109" s="2">
        <f t="shared" si="10"/>
        <v>0.91428571428571426</v>
      </c>
      <c r="K109" s="2">
        <f t="shared" si="11"/>
        <v>86.353174603174594</v>
      </c>
      <c r="L109" s="8">
        <f t="shared" si="9"/>
        <v>3.5416666666666666E-2</v>
      </c>
    </row>
    <row r="110" spans="1:12" x14ac:dyDescent="0.35">
      <c r="A110" s="2" t="s">
        <v>25</v>
      </c>
      <c r="B110" s="2" t="s">
        <v>8</v>
      </c>
      <c r="C110" s="2" t="s">
        <v>9</v>
      </c>
      <c r="D110" s="2">
        <v>900</v>
      </c>
      <c r="E110" s="2">
        <v>822</v>
      </c>
      <c r="F110" s="2">
        <v>21</v>
      </c>
      <c r="G110" s="2">
        <v>58</v>
      </c>
      <c r="H110" s="2">
        <f t="shared" si="7"/>
        <v>0.97445255474452552</v>
      </c>
      <c r="I110" s="2">
        <f t="shared" si="8"/>
        <v>0.87916666666666665</v>
      </c>
      <c r="J110" s="2">
        <f t="shared" si="10"/>
        <v>0.91333333333333333</v>
      </c>
      <c r="K110" s="2">
        <f t="shared" si="11"/>
        <v>78.245833333333323</v>
      </c>
      <c r="L110" s="8">
        <f t="shared" si="9"/>
        <v>2.5547445255474453E-2</v>
      </c>
    </row>
    <row r="111" spans="1:12" x14ac:dyDescent="0.35">
      <c r="A111" s="2" t="s">
        <v>25</v>
      </c>
      <c r="B111" s="2" t="s">
        <v>8</v>
      </c>
      <c r="C111" s="2" t="s">
        <v>10</v>
      </c>
      <c r="D111" s="2">
        <v>1100</v>
      </c>
      <c r="E111" s="2">
        <v>1094</v>
      </c>
      <c r="F111" s="2">
        <v>28</v>
      </c>
      <c r="G111" s="2">
        <v>49</v>
      </c>
      <c r="H111" s="2">
        <f t="shared" si="7"/>
        <v>0.97440585009140768</v>
      </c>
      <c r="I111" s="2">
        <f t="shared" si="8"/>
        <v>0.8979166666666667</v>
      </c>
      <c r="J111" s="2">
        <f t="shared" si="10"/>
        <v>0.99454545454545451</v>
      </c>
      <c r="K111" s="2">
        <f t="shared" si="11"/>
        <v>87.016287878787878</v>
      </c>
      <c r="L111" s="8">
        <f t="shared" si="9"/>
        <v>2.5594149908592323E-2</v>
      </c>
    </row>
    <row r="112" spans="1:12" x14ac:dyDescent="0.35">
      <c r="A112" s="2" t="s">
        <v>25</v>
      </c>
      <c r="B112" s="2" t="s">
        <v>8</v>
      </c>
      <c r="C112" s="2" t="s">
        <v>11</v>
      </c>
      <c r="D112" s="2">
        <v>1100</v>
      </c>
      <c r="E112" s="2">
        <v>1062</v>
      </c>
      <c r="F112" s="2">
        <v>5</v>
      </c>
      <c r="G112" s="2">
        <v>60</v>
      </c>
      <c r="H112" s="2">
        <f t="shared" si="7"/>
        <v>0.99529190207156304</v>
      </c>
      <c r="I112" s="2">
        <f t="shared" si="8"/>
        <v>0.875</v>
      </c>
      <c r="J112" s="2">
        <f t="shared" si="10"/>
        <v>0.96545454545454545</v>
      </c>
      <c r="K112" s="2">
        <f t="shared" si="11"/>
        <v>84.079545454545439</v>
      </c>
      <c r="L112" s="8">
        <f t="shared" si="9"/>
        <v>4.7080979284369112E-3</v>
      </c>
    </row>
    <row r="113" spans="1:12" x14ac:dyDescent="0.35">
      <c r="A113" s="2" t="s">
        <v>25</v>
      </c>
      <c r="B113" s="2" t="s">
        <v>12</v>
      </c>
      <c r="C113" s="2" t="s">
        <v>9</v>
      </c>
      <c r="D113" s="2">
        <v>1050</v>
      </c>
      <c r="E113" s="2">
        <v>931</v>
      </c>
      <c r="F113" s="2">
        <v>43</v>
      </c>
      <c r="G113" s="2">
        <v>48</v>
      </c>
      <c r="H113" s="2">
        <f t="shared" si="7"/>
        <v>0.95381310418904408</v>
      </c>
      <c r="I113" s="2">
        <f t="shared" si="8"/>
        <v>0.9</v>
      </c>
      <c r="J113" s="2">
        <f t="shared" si="10"/>
        <v>0.88666666666666671</v>
      </c>
      <c r="K113" s="2">
        <f t="shared" si="11"/>
        <v>76.114285714285728</v>
      </c>
      <c r="L113" s="8">
        <f t="shared" si="9"/>
        <v>4.6186895810955961E-2</v>
      </c>
    </row>
    <row r="114" spans="1:12" x14ac:dyDescent="0.35">
      <c r="A114" s="2" t="s">
        <v>25</v>
      </c>
      <c r="B114" s="2" t="s">
        <v>12</v>
      </c>
      <c r="C114" s="2" t="s">
        <v>10</v>
      </c>
      <c r="D114" s="2">
        <v>1000</v>
      </c>
      <c r="E114" s="2">
        <v>907</v>
      </c>
      <c r="F114" s="2">
        <v>19</v>
      </c>
      <c r="G114" s="2">
        <v>56</v>
      </c>
      <c r="H114" s="2">
        <f t="shared" si="7"/>
        <v>0.97905181918412343</v>
      </c>
      <c r="I114" s="2">
        <f t="shared" si="8"/>
        <v>0.8833333333333333</v>
      </c>
      <c r="J114" s="2">
        <f t="shared" si="10"/>
        <v>0.90700000000000003</v>
      </c>
      <c r="K114" s="2">
        <f t="shared" si="11"/>
        <v>78.44</v>
      </c>
      <c r="L114" s="8">
        <f t="shared" si="9"/>
        <v>2.0948180815876516E-2</v>
      </c>
    </row>
    <row r="115" spans="1:12" x14ac:dyDescent="0.35">
      <c r="A115" s="2" t="s">
        <v>25</v>
      </c>
      <c r="B115" s="2" t="s">
        <v>12</v>
      </c>
      <c r="C115" s="2" t="s">
        <v>11</v>
      </c>
      <c r="D115" s="2">
        <v>1000</v>
      </c>
      <c r="E115" s="2">
        <v>940</v>
      </c>
      <c r="F115" s="2">
        <v>25</v>
      </c>
      <c r="G115" s="2">
        <v>59</v>
      </c>
      <c r="H115" s="2">
        <f t="shared" si="7"/>
        <v>0.97340425531914898</v>
      </c>
      <c r="I115" s="2">
        <f t="shared" si="8"/>
        <v>0.87708333333333333</v>
      </c>
      <c r="J115" s="2">
        <f t="shared" si="10"/>
        <v>0.94</v>
      </c>
      <c r="K115" s="2">
        <f t="shared" si="11"/>
        <v>80.253124999999997</v>
      </c>
      <c r="L115" s="8">
        <f t="shared" si="9"/>
        <v>2.6595744680851064E-2</v>
      </c>
    </row>
    <row r="116" spans="1:12" x14ac:dyDescent="0.35">
      <c r="A116" s="2" t="s">
        <v>25</v>
      </c>
      <c r="B116" s="2" t="s">
        <v>13</v>
      </c>
      <c r="C116" s="2" t="s">
        <v>9</v>
      </c>
      <c r="D116" s="2">
        <v>1000</v>
      </c>
      <c r="E116" s="2">
        <v>952</v>
      </c>
      <c r="F116" s="2">
        <v>18</v>
      </c>
      <c r="G116" s="2">
        <v>13</v>
      </c>
      <c r="H116" s="2">
        <f t="shared" si="7"/>
        <v>0.98109243697478987</v>
      </c>
      <c r="I116" s="2">
        <f t="shared" si="8"/>
        <v>0.97291666666666665</v>
      </c>
      <c r="J116" s="2">
        <f t="shared" si="10"/>
        <v>0.95199999999999996</v>
      </c>
      <c r="K116" s="2">
        <f t="shared" si="11"/>
        <v>90.870416666666671</v>
      </c>
      <c r="L116" s="8">
        <f t="shared" si="9"/>
        <v>1.8907563025210083E-2</v>
      </c>
    </row>
    <row r="117" spans="1:12" x14ac:dyDescent="0.35">
      <c r="A117" s="2" t="s">
        <v>25</v>
      </c>
      <c r="B117" s="2" t="s">
        <v>13</v>
      </c>
      <c r="C117" s="2" t="s">
        <v>10</v>
      </c>
      <c r="D117" s="2">
        <v>1100</v>
      </c>
      <c r="E117" s="2">
        <v>1071</v>
      </c>
      <c r="F117" s="2">
        <v>50</v>
      </c>
      <c r="G117" s="2">
        <v>44</v>
      </c>
      <c r="H117" s="2">
        <f t="shared" si="7"/>
        <v>0.95331465919701219</v>
      </c>
      <c r="I117" s="2">
        <f t="shared" si="8"/>
        <v>0.90833333333333333</v>
      </c>
      <c r="J117" s="2">
        <f t="shared" si="10"/>
        <v>0.97363636363636363</v>
      </c>
      <c r="K117" s="2">
        <f t="shared" si="11"/>
        <v>84.309848484848487</v>
      </c>
      <c r="L117" s="8">
        <f t="shared" si="9"/>
        <v>4.6685340802987862E-2</v>
      </c>
    </row>
    <row r="118" spans="1:12" x14ac:dyDescent="0.35">
      <c r="A118" s="2" t="s">
        <v>25</v>
      </c>
      <c r="B118" s="2" t="s">
        <v>13</v>
      </c>
      <c r="C118" s="2" t="s">
        <v>11</v>
      </c>
      <c r="D118" s="2">
        <v>1050</v>
      </c>
      <c r="E118" s="2">
        <v>940</v>
      </c>
      <c r="F118" s="2">
        <v>38</v>
      </c>
      <c r="G118" s="2">
        <v>31</v>
      </c>
      <c r="H118" s="2">
        <f t="shared" si="7"/>
        <v>0.95957446808510638</v>
      </c>
      <c r="I118" s="2">
        <f t="shared" si="8"/>
        <v>0.93541666666666667</v>
      </c>
      <c r="J118" s="2">
        <f t="shared" si="10"/>
        <v>0.89523809523809528</v>
      </c>
      <c r="K118" s="2">
        <f t="shared" si="11"/>
        <v>80.356746031746027</v>
      </c>
      <c r="L118" s="8">
        <f t="shared" si="9"/>
        <v>4.042553191489362E-2</v>
      </c>
    </row>
    <row r="119" spans="1:12" x14ac:dyDescent="0.35">
      <c r="A119" s="2" t="s">
        <v>26</v>
      </c>
      <c r="B119" s="2" t="s">
        <v>8</v>
      </c>
      <c r="C119" s="2" t="s">
        <v>9</v>
      </c>
      <c r="D119" s="2">
        <v>950</v>
      </c>
      <c r="E119" s="2">
        <v>932</v>
      </c>
      <c r="F119" s="2">
        <v>22</v>
      </c>
      <c r="G119" s="2">
        <v>30</v>
      </c>
      <c r="H119" s="2">
        <f t="shared" si="7"/>
        <v>0.97639484978540769</v>
      </c>
      <c r="I119" s="2">
        <f t="shared" si="8"/>
        <v>0.9375</v>
      </c>
      <c r="J119" s="2">
        <f t="shared" si="10"/>
        <v>0.9810526315789474</v>
      </c>
      <c r="K119" s="2">
        <f t="shared" si="11"/>
        <v>89.80263157894737</v>
      </c>
      <c r="L119" s="8">
        <f t="shared" si="9"/>
        <v>2.3605150214592276E-2</v>
      </c>
    </row>
    <row r="120" spans="1:12" x14ac:dyDescent="0.35">
      <c r="A120" s="2" t="s">
        <v>26</v>
      </c>
      <c r="B120" s="2" t="s">
        <v>8</v>
      </c>
      <c r="C120" s="2" t="s">
        <v>10</v>
      </c>
      <c r="D120" s="2">
        <v>1000</v>
      </c>
      <c r="E120" s="2">
        <v>972</v>
      </c>
      <c r="F120" s="2">
        <v>44</v>
      </c>
      <c r="G120" s="2">
        <v>22</v>
      </c>
      <c r="H120" s="2">
        <f t="shared" si="7"/>
        <v>0.95473251028806583</v>
      </c>
      <c r="I120" s="2">
        <f t="shared" si="8"/>
        <v>0.95416666666666672</v>
      </c>
      <c r="J120" s="2">
        <f t="shared" si="10"/>
        <v>0.97199999999999998</v>
      </c>
      <c r="K120" s="2">
        <f t="shared" si="11"/>
        <v>88.546666666666667</v>
      </c>
      <c r="L120" s="8">
        <f t="shared" si="9"/>
        <v>4.5267489711934158E-2</v>
      </c>
    </row>
    <row r="121" spans="1:12" x14ac:dyDescent="0.35">
      <c r="A121" s="2" t="s">
        <v>26</v>
      </c>
      <c r="B121" s="2" t="s">
        <v>8</v>
      </c>
      <c r="C121" s="2" t="s">
        <v>11</v>
      </c>
      <c r="D121" s="2">
        <v>1100</v>
      </c>
      <c r="E121" s="2">
        <v>1014</v>
      </c>
      <c r="F121" s="2">
        <v>45</v>
      </c>
      <c r="G121" s="2">
        <v>8</v>
      </c>
      <c r="H121" s="2">
        <f t="shared" si="7"/>
        <v>0.95562130177514792</v>
      </c>
      <c r="I121" s="2">
        <f t="shared" si="8"/>
        <v>0.98333333333333328</v>
      </c>
      <c r="J121" s="2">
        <f t="shared" si="10"/>
        <v>0.92181818181818187</v>
      </c>
      <c r="K121" s="2">
        <f t="shared" si="11"/>
        <v>86.622727272727275</v>
      </c>
      <c r="L121" s="8">
        <f t="shared" si="9"/>
        <v>4.4378698224852069E-2</v>
      </c>
    </row>
    <row r="122" spans="1:12" x14ac:dyDescent="0.35">
      <c r="A122" s="2" t="s">
        <v>26</v>
      </c>
      <c r="B122" s="2" t="s">
        <v>12</v>
      </c>
      <c r="C122" s="2" t="s">
        <v>9</v>
      </c>
      <c r="D122" s="2">
        <v>1100</v>
      </c>
      <c r="E122" s="2">
        <v>1046</v>
      </c>
      <c r="F122" s="2">
        <v>30</v>
      </c>
      <c r="G122" s="2">
        <v>49</v>
      </c>
      <c r="H122" s="2">
        <f t="shared" si="7"/>
        <v>0.97131931166347996</v>
      </c>
      <c r="I122" s="2">
        <f t="shared" si="8"/>
        <v>0.8979166666666667</v>
      </c>
      <c r="J122" s="2">
        <f t="shared" si="10"/>
        <v>0.95090909090909093</v>
      </c>
      <c r="K122" s="2">
        <f t="shared" si="11"/>
        <v>82.934848484848501</v>
      </c>
      <c r="L122" s="8">
        <f t="shared" si="9"/>
        <v>2.8680688336520075E-2</v>
      </c>
    </row>
    <row r="123" spans="1:12" x14ac:dyDescent="0.35">
      <c r="A123" s="2" t="s">
        <v>26</v>
      </c>
      <c r="B123" s="2" t="s">
        <v>12</v>
      </c>
      <c r="C123" s="2" t="s">
        <v>10</v>
      </c>
      <c r="D123" s="2">
        <v>1100</v>
      </c>
      <c r="E123" s="2">
        <v>1100</v>
      </c>
      <c r="F123" s="2">
        <v>31</v>
      </c>
      <c r="G123" s="2">
        <v>50</v>
      </c>
      <c r="H123" s="2">
        <f t="shared" si="7"/>
        <v>0.9718181818181818</v>
      </c>
      <c r="I123" s="2">
        <f t="shared" si="8"/>
        <v>0.89583333333333337</v>
      </c>
      <c r="J123" s="2">
        <f t="shared" si="10"/>
        <v>1</v>
      </c>
      <c r="K123" s="2">
        <f t="shared" si="11"/>
        <v>87.058712121212125</v>
      </c>
      <c r="L123" s="8">
        <f t="shared" si="9"/>
        <v>2.8181818181818183E-2</v>
      </c>
    </row>
    <row r="124" spans="1:12" x14ac:dyDescent="0.35">
      <c r="A124" s="2" t="s">
        <v>26</v>
      </c>
      <c r="B124" s="2" t="s">
        <v>12</v>
      </c>
      <c r="C124" s="2" t="s">
        <v>11</v>
      </c>
      <c r="D124" s="2">
        <v>950</v>
      </c>
      <c r="E124" s="2">
        <v>914</v>
      </c>
      <c r="F124" s="2">
        <v>9</v>
      </c>
      <c r="G124" s="2">
        <v>34</v>
      </c>
      <c r="H124" s="2">
        <f t="shared" si="7"/>
        <v>0.99015317286652083</v>
      </c>
      <c r="I124" s="2">
        <f t="shared" si="8"/>
        <v>0.9291666666666667</v>
      </c>
      <c r="J124" s="2">
        <f t="shared" si="10"/>
        <v>0.96210526315789469</v>
      </c>
      <c r="K124" s="2">
        <f t="shared" si="11"/>
        <v>88.515350877192972</v>
      </c>
      <c r="L124" s="8">
        <f t="shared" si="9"/>
        <v>9.8468271334792128E-3</v>
      </c>
    </row>
    <row r="125" spans="1:12" x14ac:dyDescent="0.35">
      <c r="A125" s="2" t="s">
        <v>26</v>
      </c>
      <c r="B125" s="2" t="s">
        <v>13</v>
      </c>
      <c r="C125" s="2" t="s">
        <v>9</v>
      </c>
      <c r="D125" s="2">
        <v>900</v>
      </c>
      <c r="E125" s="2">
        <v>827</v>
      </c>
      <c r="F125" s="2">
        <v>19</v>
      </c>
      <c r="G125" s="2">
        <v>36</v>
      </c>
      <c r="H125" s="2">
        <f t="shared" si="7"/>
        <v>0.97702539298669888</v>
      </c>
      <c r="I125" s="2">
        <f t="shared" si="8"/>
        <v>0.92500000000000004</v>
      </c>
      <c r="J125" s="2">
        <f t="shared" si="10"/>
        <v>0.91888888888888887</v>
      </c>
      <c r="K125" s="2">
        <f t="shared" si="11"/>
        <v>83.044444444444437</v>
      </c>
      <c r="L125" s="8">
        <f t="shared" si="9"/>
        <v>2.2974607013301087E-2</v>
      </c>
    </row>
    <row r="126" spans="1:12" x14ac:dyDescent="0.35">
      <c r="A126" s="2" t="s">
        <v>26</v>
      </c>
      <c r="B126" s="2" t="s">
        <v>13</v>
      </c>
      <c r="C126" s="2" t="s">
        <v>10</v>
      </c>
      <c r="D126" s="2">
        <v>1050</v>
      </c>
      <c r="E126" s="2">
        <v>1005</v>
      </c>
      <c r="F126" s="2">
        <v>28</v>
      </c>
      <c r="G126" s="2">
        <v>44</v>
      </c>
      <c r="H126" s="2">
        <f t="shared" si="7"/>
        <v>0.97213930348258704</v>
      </c>
      <c r="I126" s="2">
        <f t="shared" si="8"/>
        <v>0.90833333333333333</v>
      </c>
      <c r="J126" s="2">
        <f t="shared" si="10"/>
        <v>0.95714285714285718</v>
      </c>
      <c r="K126" s="2">
        <f t="shared" si="11"/>
        <v>84.518253968253958</v>
      </c>
      <c r="L126" s="8">
        <f t="shared" si="9"/>
        <v>2.7860696517412936E-2</v>
      </c>
    </row>
    <row r="127" spans="1:12" x14ac:dyDescent="0.35">
      <c r="A127" s="2" t="s">
        <v>26</v>
      </c>
      <c r="B127" s="2" t="s">
        <v>13</v>
      </c>
      <c r="C127" s="2" t="s">
        <v>11</v>
      </c>
      <c r="D127" s="2">
        <v>1050</v>
      </c>
      <c r="E127" s="2">
        <v>951</v>
      </c>
      <c r="F127" s="2">
        <v>29</v>
      </c>
      <c r="G127" s="2">
        <v>1</v>
      </c>
      <c r="H127" s="2">
        <f t="shared" si="7"/>
        <v>0.96950578338590954</v>
      </c>
      <c r="I127" s="2">
        <f t="shared" si="8"/>
        <v>0.99791666666666667</v>
      </c>
      <c r="J127" s="2">
        <f t="shared" si="10"/>
        <v>0.90571428571428569</v>
      </c>
      <c r="K127" s="2">
        <f t="shared" si="11"/>
        <v>87.626587301587293</v>
      </c>
      <c r="L127" s="8">
        <f t="shared" si="9"/>
        <v>3.0494216614090432E-2</v>
      </c>
    </row>
    <row r="128" spans="1:12" x14ac:dyDescent="0.35">
      <c r="A128" s="2" t="s">
        <v>27</v>
      </c>
      <c r="B128" s="2" t="s">
        <v>8</v>
      </c>
      <c r="C128" s="2" t="s">
        <v>9</v>
      </c>
      <c r="D128" s="2">
        <v>900</v>
      </c>
      <c r="E128" s="2">
        <v>813</v>
      </c>
      <c r="F128" s="2">
        <v>39</v>
      </c>
      <c r="G128" s="2">
        <v>7</v>
      </c>
      <c r="H128" s="2">
        <f t="shared" si="7"/>
        <v>0.95202952029520294</v>
      </c>
      <c r="I128" s="2">
        <f t="shared" si="8"/>
        <v>0.98541666666666672</v>
      </c>
      <c r="J128" s="2">
        <f t="shared" si="10"/>
        <v>0.90333333333333332</v>
      </c>
      <c r="K128" s="2">
        <f t="shared" si="11"/>
        <v>84.745833333333337</v>
      </c>
      <c r="L128" s="8">
        <f t="shared" si="9"/>
        <v>4.797047970479705E-2</v>
      </c>
    </row>
    <row r="129" spans="1:12" x14ac:dyDescent="0.35">
      <c r="A129" s="2" t="s">
        <v>27</v>
      </c>
      <c r="B129" s="2" t="s">
        <v>8</v>
      </c>
      <c r="C129" s="2" t="s">
        <v>10</v>
      </c>
      <c r="D129" s="2">
        <v>1100</v>
      </c>
      <c r="E129" s="2">
        <v>985</v>
      </c>
      <c r="F129" s="2">
        <v>6</v>
      </c>
      <c r="G129" s="2">
        <v>3</v>
      </c>
      <c r="H129" s="2">
        <f t="shared" si="7"/>
        <v>0.99390862944162439</v>
      </c>
      <c r="I129" s="2">
        <f t="shared" si="8"/>
        <v>0.99375000000000002</v>
      </c>
      <c r="J129" s="2">
        <f t="shared" si="10"/>
        <v>0.8954545454545455</v>
      </c>
      <c r="K129" s="2">
        <f t="shared" si="11"/>
        <v>88.443750000000009</v>
      </c>
      <c r="L129" s="8">
        <f t="shared" si="9"/>
        <v>6.0913705583756344E-3</v>
      </c>
    </row>
    <row r="130" spans="1:12" x14ac:dyDescent="0.35">
      <c r="A130" s="2" t="s">
        <v>27</v>
      </c>
      <c r="B130" s="2" t="s">
        <v>8</v>
      </c>
      <c r="C130" s="2" t="s">
        <v>11</v>
      </c>
      <c r="D130" s="2">
        <v>1000</v>
      </c>
      <c r="E130" s="2">
        <v>911</v>
      </c>
      <c r="F130" s="2">
        <v>29</v>
      </c>
      <c r="G130" s="2">
        <v>10</v>
      </c>
      <c r="H130" s="2">
        <f t="shared" si="7"/>
        <v>0.96816684961580679</v>
      </c>
      <c r="I130" s="2">
        <f t="shared" si="8"/>
        <v>0.97916666666666663</v>
      </c>
      <c r="J130" s="2">
        <f t="shared" si="10"/>
        <v>0.91100000000000003</v>
      </c>
      <c r="K130" s="2">
        <f t="shared" si="11"/>
        <v>86.362499999999997</v>
      </c>
      <c r="L130" s="8">
        <f t="shared" si="9"/>
        <v>3.1833150384193196E-2</v>
      </c>
    </row>
    <row r="131" spans="1:12" x14ac:dyDescent="0.35">
      <c r="A131" s="2" t="s">
        <v>27</v>
      </c>
      <c r="B131" s="2" t="s">
        <v>12</v>
      </c>
      <c r="C131" s="2" t="s">
        <v>9</v>
      </c>
      <c r="D131" s="2">
        <v>1000</v>
      </c>
      <c r="E131" s="2">
        <v>972</v>
      </c>
      <c r="F131" s="2">
        <v>15</v>
      </c>
      <c r="G131" s="2">
        <v>45</v>
      </c>
      <c r="H131" s="2">
        <f t="shared" ref="H131:H194" si="12">(E131-F131)/E131</f>
        <v>0.98456790123456794</v>
      </c>
      <c r="I131" s="2">
        <f t="shared" ref="I131:I194" si="13">(480-G131)/480</f>
        <v>0.90625</v>
      </c>
      <c r="J131" s="2">
        <f t="shared" si="10"/>
        <v>0.97199999999999998</v>
      </c>
      <c r="K131" s="2">
        <f t="shared" si="11"/>
        <v>86.728125000000006</v>
      </c>
      <c r="L131" s="8">
        <f t="shared" ref="L131:L194" si="14">(F131/E131)</f>
        <v>1.5432098765432098E-2</v>
      </c>
    </row>
    <row r="132" spans="1:12" x14ac:dyDescent="0.35">
      <c r="A132" s="2" t="s">
        <v>27</v>
      </c>
      <c r="B132" s="2" t="s">
        <v>12</v>
      </c>
      <c r="C132" s="2" t="s">
        <v>10</v>
      </c>
      <c r="D132" s="2">
        <v>950</v>
      </c>
      <c r="E132" s="2">
        <v>891</v>
      </c>
      <c r="F132" s="2">
        <v>39</v>
      </c>
      <c r="G132" s="2">
        <v>18</v>
      </c>
      <c r="H132" s="2">
        <f t="shared" si="12"/>
        <v>0.95622895622895621</v>
      </c>
      <c r="I132" s="2">
        <f t="shared" si="13"/>
        <v>0.96250000000000002</v>
      </c>
      <c r="J132" s="2">
        <f t="shared" si="10"/>
        <v>0.93789473684210523</v>
      </c>
      <c r="K132" s="2">
        <f t="shared" si="11"/>
        <v>86.321052631578937</v>
      </c>
      <c r="L132" s="8">
        <f t="shared" si="14"/>
        <v>4.3771043771043773E-2</v>
      </c>
    </row>
    <row r="133" spans="1:12" x14ac:dyDescent="0.35">
      <c r="A133" s="2" t="s">
        <v>27</v>
      </c>
      <c r="B133" s="2" t="s">
        <v>12</v>
      </c>
      <c r="C133" s="2" t="s">
        <v>11</v>
      </c>
      <c r="D133" s="2">
        <v>950</v>
      </c>
      <c r="E133" s="2">
        <v>864</v>
      </c>
      <c r="F133" s="2">
        <v>14</v>
      </c>
      <c r="G133" s="2">
        <v>16</v>
      </c>
      <c r="H133" s="2">
        <f t="shared" si="12"/>
        <v>0.98379629629629628</v>
      </c>
      <c r="I133" s="2">
        <f t="shared" si="13"/>
        <v>0.96666666666666667</v>
      </c>
      <c r="J133" s="2">
        <f t="shared" si="10"/>
        <v>0.90947368421052632</v>
      </c>
      <c r="K133" s="2">
        <f t="shared" si="11"/>
        <v>86.491228070175438</v>
      </c>
      <c r="L133" s="8">
        <f t="shared" si="14"/>
        <v>1.6203703703703703E-2</v>
      </c>
    </row>
    <row r="134" spans="1:12" x14ac:dyDescent="0.35">
      <c r="A134" s="2" t="s">
        <v>27</v>
      </c>
      <c r="B134" s="2" t="s">
        <v>13</v>
      </c>
      <c r="C134" s="2" t="s">
        <v>9</v>
      </c>
      <c r="D134" s="2">
        <v>1050</v>
      </c>
      <c r="E134" s="2">
        <v>1035</v>
      </c>
      <c r="F134" s="2">
        <v>25</v>
      </c>
      <c r="G134" s="2">
        <v>16</v>
      </c>
      <c r="H134" s="2">
        <f t="shared" si="12"/>
        <v>0.97584541062801933</v>
      </c>
      <c r="I134" s="2">
        <f t="shared" si="13"/>
        <v>0.96666666666666667</v>
      </c>
      <c r="J134" s="2">
        <f t="shared" si="10"/>
        <v>0.98571428571428577</v>
      </c>
      <c r="K134" s="2">
        <f t="shared" si="11"/>
        <v>92.984126984126988</v>
      </c>
      <c r="L134" s="8">
        <f t="shared" si="14"/>
        <v>2.4154589371980676E-2</v>
      </c>
    </row>
    <row r="135" spans="1:12" x14ac:dyDescent="0.35">
      <c r="A135" s="2" t="s">
        <v>27</v>
      </c>
      <c r="B135" s="2" t="s">
        <v>13</v>
      </c>
      <c r="C135" s="2" t="s">
        <v>10</v>
      </c>
      <c r="D135" s="2">
        <v>950</v>
      </c>
      <c r="E135" s="2">
        <v>895</v>
      </c>
      <c r="F135" s="2">
        <v>27</v>
      </c>
      <c r="G135" s="2">
        <v>11</v>
      </c>
      <c r="H135" s="2">
        <f t="shared" si="12"/>
        <v>0.96983240223463685</v>
      </c>
      <c r="I135" s="2">
        <f t="shared" si="13"/>
        <v>0.9770833333333333</v>
      </c>
      <c r="J135" s="2">
        <f t="shared" si="10"/>
        <v>0.94210526315789478</v>
      </c>
      <c r="K135" s="2">
        <f t="shared" si="11"/>
        <v>89.27456140350877</v>
      </c>
      <c r="L135" s="8">
        <f t="shared" si="14"/>
        <v>3.0167597765363128E-2</v>
      </c>
    </row>
    <row r="136" spans="1:12" x14ac:dyDescent="0.35">
      <c r="A136" s="2" t="s">
        <v>27</v>
      </c>
      <c r="B136" s="2" t="s">
        <v>13</v>
      </c>
      <c r="C136" s="2" t="s">
        <v>11</v>
      </c>
      <c r="D136" s="2">
        <v>950</v>
      </c>
      <c r="E136" s="2">
        <v>835</v>
      </c>
      <c r="F136" s="2">
        <v>32</v>
      </c>
      <c r="G136" s="2">
        <v>9</v>
      </c>
      <c r="H136" s="2">
        <f t="shared" si="12"/>
        <v>0.96167664670658681</v>
      </c>
      <c r="I136" s="2">
        <f t="shared" si="13"/>
        <v>0.98124999999999996</v>
      </c>
      <c r="J136" s="2">
        <f t="shared" si="10"/>
        <v>0.87894736842105259</v>
      </c>
      <c r="K136" s="2">
        <f t="shared" si="11"/>
        <v>82.941447368421052</v>
      </c>
      <c r="L136" s="8">
        <f t="shared" si="14"/>
        <v>3.8323353293413173E-2</v>
      </c>
    </row>
    <row r="137" spans="1:12" x14ac:dyDescent="0.35">
      <c r="A137" s="2" t="s">
        <v>28</v>
      </c>
      <c r="B137" s="2" t="s">
        <v>8</v>
      </c>
      <c r="C137" s="2" t="s">
        <v>9</v>
      </c>
      <c r="D137" s="2">
        <v>1100</v>
      </c>
      <c r="E137" s="2">
        <v>1034</v>
      </c>
      <c r="F137" s="2">
        <v>21</v>
      </c>
      <c r="G137" s="2">
        <v>34</v>
      </c>
      <c r="H137" s="2">
        <f t="shared" si="12"/>
        <v>0.97969052224371378</v>
      </c>
      <c r="I137" s="2">
        <f t="shared" si="13"/>
        <v>0.9291666666666667</v>
      </c>
      <c r="J137" s="2">
        <f t="shared" si="10"/>
        <v>0.94</v>
      </c>
      <c r="K137" s="2">
        <f t="shared" si="11"/>
        <v>85.567803030303025</v>
      </c>
      <c r="L137" s="8">
        <f t="shared" si="14"/>
        <v>2.0309477756286266E-2</v>
      </c>
    </row>
    <row r="138" spans="1:12" x14ac:dyDescent="0.35">
      <c r="A138" s="2" t="s">
        <v>28</v>
      </c>
      <c r="B138" s="2" t="s">
        <v>8</v>
      </c>
      <c r="C138" s="2" t="s">
        <v>10</v>
      </c>
      <c r="D138" s="2">
        <v>1050</v>
      </c>
      <c r="E138" s="2">
        <v>935</v>
      </c>
      <c r="F138" s="2">
        <v>10</v>
      </c>
      <c r="G138" s="2">
        <v>44</v>
      </c>
      <c r="H138" s="2">
        <f t="shared" si="12"/>
        <v>0.98930481283422456</v>
      </c>
      <c r="I138" s="2">
        <f t="shared" si="13"/>
        <v>0.90833333333333333</v>
      </c>
      <c r="J138" s="2">
        <f t="shared" si="10"/>
        <v>0.89047619047619042</v>
      </c>
      <c r="K138" s="2">
        <f t="shared" si="11"/>
        <v>80.019841269841265</v>
      </c>
      <c r="L138" s="8">
        <f t="shared" si="14"/>
        <v>1.06951871657754E-2</v>
      </c>
    </row>
    <row r="139" spans="1:12" x14ac:dyDescent="0.35">
      <c r="A139" s="2" t="s">
        <v>28</v>
      </c>
      <c r="B139" s="2" t="s">
        <v>8</v>
      </c>
      <c r="C139" s="2" t="s">
        <v>11</v>
      </c>
      <c r="D139" s="2">
        <v>900</v>
      </c>
      <c r="E139" s="2">
        <v>835</v>
      </c>
      <c r="F139" s="2">
        <v>28</v>
      </c>
      <c r="G139" s="2">
        <v>38</v>
      </c>
      <c r="H139" s="2">
        <f t="shared" si="12"/>
        <v>0.96646706586826348</v>
      </c>
      <c r="I139" s="2">
        <f t="shared" si="13"/>
        <v>0.92083333333333328</v>
      </c>
      <c r="J139" s="2">
        <f t="shared" si="10"/>
        <v>0.92777777777777781</v>
      </c>
      <c r="K139" s="2">
        <f t="shared" si="11"/>
        <v>82.56805555555556</v>
      </c>
      <c r="L139" s="8">
        <f t="shared" si="14"/>
        <v>3.3532934131736525E-2</v>
      </c>
    </row>
    <row r="140" spans="1:12" x14ac:dyDescent="0.35">
      <c r="A140" s="2" t="s">
        <v>28</v>
      </c>
      <c r="B140" s="2" t="s">
        <v>12</v>
      </c>
      <c r="C140" s="2" t="s">
        <v>9</v>
      </c>
      <c r="D140" s="2">
        <v>900</v>
      </c>
      <c r="E140" s="2">
        <v>807</v>
      </c>
      <c r="F140" s="2">
        <v>11</v>
      </c>
      <c r="G140" s="2">
        <v>54</v>
      </c>
      <c r="H140" s="2">
        <f t="shared" si="12"/>
        <v>0.98636926889714993</v>
      </c>
      <c r="I140" s="2">
        <f t="shared" si="13"/>
        <v>0.88749999999999996</v>
      </c>
      <c r="J140" s="2">
        <f t="shared" si="10"/>
        <v>0.89666666666666661</v>
      </c>
      <c r="K140" s="2">
        <f t="shared" si="11"/>
        <v>78.49444444444444</v>
      </c>
      <c r="L140" s="8">
        <f t="shared" si="14"/>
        <v>1.3630731102850062E-2</v>
      </c>
    </row>
    <row r="141" spans="1:12" x14ac:dyDescent="0.35">
      <c r="A141" s="2" t="s">
        <v>28</v>
      </c>
      <c r="B141" s="2" t="s">
        <v>12</v>
      </c>
      <c r="C141" s="2" t="s">
        <v>10</v>
      </c>
      <c r="D141" s="2">
        <v>900</v>
      </c>
      <c r="E141" s="2">
        <v>890</v>
      </c>
      <c r="F141" s="2">
        <v>26</v>
      </c>
      <c r="G141" s="2">
        <v>14</v>
      </c>
      <c r="H141" s="2">
        <f t="shared" si="12"/>
        <v>0.97078651685393258</v>
      </c>
      <c r="I141" s="2">
        <f t="shared" si="13"/>
        <v>0.97083333333333333</v>
      </c>
      <c r="J141" s="2">
        <f t="shared" si="10"/>
        <v>0.98888888888888893</v>
      </c>
      <c r="K141" s="2">
        <f t="shared" si="11"/>
        <v>93.2</v>
      </c>
      <c r="L141" s="8">
        <f t="shared" si="14"/>
        <v>2.9213483146067417E-2</v>
      </c>
    </row>
    <row r="142" spans="1:12" x14ac:dyDescent="0.35">
      <c r="A142" s="2" t="s">
        <v>28</v>
      </c>
      <c r="B142" s="2" t="s">
        <v>12</v>
      </c>
      <c r="C142" s="2" t="s">
        <v>11</v>
      </c>
      <c r="D142" s="2">
        <v>950</v>
      </c>
      <c r="E142" s="2">
        <v>916</v>
      </c>
      <c r="F142" s="2">
        <v>18</v>
      </c>
      <c r="G142" s="2">
        <v>30</v>
      </c>
      <c r="H142" s="2">
        <f t="shared" si="12"/>
        <v>0.98034934497816595</v>
      </c>
      <c r="I142" s="2">
        <f t="shared" si="13"/>
        <v>0.9375</v>
      </c>
      <c r="J142" s="2">
        <f t="shared" si="10"/>
        <v>0.96421052631578952</v>
      </c>
      <c r="K142" s="2">
        <f t="shared" si="11"/>
        <v>88.618421052631589</v>
      </c>
      <c r="L142" s="8">
        <f t="shared" si="14"/>
        <v>1.9650655021834062E-2</v>
      </c>
    </row>
    <row r="143" spans="1:12" x14ac:dyDescent="0.35">
      <c r="A143" s="2" t="s">
        <v>28</v>
      </c>
      <c r="B143" s="2" t="s">
        <v>13</v>
      </c>
      <c r="C143" s="2" t="s">
        <v>9</v>
      </c>
      <c r="D143" s="2">
        <v>950</v>
      </c>
      <c r="E143" s="2">
        <v>831</v>
      </c>
      <c r="F143" s="2">
        <v>13</v>
      </c>
      <c r="G143" s="2">
        <v>5</v>
      </c>
      <c r="H143" s="2">
        <f t="shared" si="12"/>
        <v>0.98435619735258728</v>
      </c>
      <c r="I143" s="2">
        <f t="shared" si="13"/>
        <v>0.98958333333333337</v>
      </c>
      <c r="J143" s="2">
        <f t="shared" si="10"/>
        <v>0.87473684210526315</v>
      </c>
      <c r="K143" s="2">
        <f t="shared" si="11"/>
        <v>85.208333333333343</v>
      </c>
      <c r="L143" s="8">
        <f t="shared" si="14"/>
        <v>1.5643802647412757E-2</v>
      </c>
    </row>
    <row r="144" spans="1:12" x14ac:dyDescent="0.35">
      <c r="A144" s="2" t="s">
        <v>28</v>
      </c>
      <c r="B144" s="2" t="s">
        <v>13</v>
      </c>
      <c r="C144" s="2" t="s">
        <v>10</v>
      </c>
      <c r="D144" s="2">
        <v>900</v>
      </c>
      <c r="E144" s="2">
        <v>816</v>
      </c>
      <c r="F144" s="2">
        <v>31</v>
      </c>
      <c r="G144" s="2">
        <v>49</v>
      </c>
      <c r="H144" s="2">
        <f t="shared" si="12"/>
        <v>0.96200980392156865</v>
      </c>
      <c r="I144" s="2">
        <f t="shared" si="13"/>
        <v>0.8979166666666667</v>
      </c>
      <c r="J144" s="2">
        <f t="shared" si="10"/>
        <v>0.90666666666666662</v>
      </c>
      <c r="K144" s="2">
        <f t="shared" si="11"/>
        <v>78.318287037037038</v>
      </c>
      <c r="L144" s="8">
        <f t="shared" si="14"/>
        <v>3.7990196078431369E-2</v>
      </c>
    </row>
    <row r="145" spans="1:12" x14ac:dyDescent="0.35">
      <c r="A145" s="2" t="s">
        <v>28</v>
      </c>
      <c r="B145" s="2" t="s">
        <v>13</v>
      </c>
      <c r="C145" s="2" t="s">
        <v>11</v>
      </c>
      <c r="D145" s="2">
        <v>1100</v>
      </c>
      <c r="E145" s="2">
        <v>1058</v>
      </c>
      <c r="F145" s="2">
        <v>5</v>
      </c>
      <c r="G145" s="2">
        <v>56</v>
      </c>
      <c r="H145" s="2">
        <f t="shared" si="12"/>
        <v>0.99527410207939504</v>
      </c>
      <c r="I145" s="2">
        <f t="shared" si="13"/>
        <v>0.8833333333333333</v>
      </c>
      <c r="J145" s="2">
        <f t="shared" si="10"/>
        <v>0.96181818181818179</v>
      </c>
      <c r="K145" s="2">
        <f t="shared" si="11"/>
        <v>84.559090909090898</v>
      </c>
      <c r="L145" s="8">
        <f t="shared" si="14"/>
        <v>4.725897920604915E-3</v>
      </c>
    </row>
    <row r="146" spans="1:12" x14ac:dyDescent="0.35">
      <c r="A146" s="2" t="s">
        <v>29</v>
      </c>
      <c r="B146" s="2" t="s">
        <v>8</v>
      </c>
      <c r="C146" s="2" t="s">
        <v>9</v>
      </c>
      <c r="D146" s="2">
        <v>950</v>
      </c>
      <c r="E146" s="2">
        <v>850</v>
      </c>
      <c r="F146" s="2">
        <v>5</v>
      </c>
      <c r="G146" s="2">
        <v>33</v>
      </c>
      <c r="H146" s="2">
        <f t="shared" si="12"/>
        <v>0.99411764705882355</v>
      </c>
      <c r="I146" s="2">
        <f t="shared" si="13"/>
        <v>0.93125000000000002</v>
      </c>
      <c r="J146" s="2">
        <f t="shared" si="10"/>
        <v>0.89473684210526316</v>
      </c>
      <c r="K146" s="2">
        <f t="shared" si="11"/>
        <v>82.83223684210526</v>
      </c>
      <c r="L146" s="8">
        <f t="shared" si="14"/>
        <v>5.8823529411764705E-3</v>
      </c>
    </row>
    <row r="147" spans="1:12" x14ac:dyDescent="0.35">
      <c r="A147" s="2" t="s">
        <v>29</v>
      </c>
      <c r="B147" s="2" t="s">
        <v>8</v>
      </c>
      <c r="C147" s="2" t="s">
        <v>10</v>
      </c>
      <c r="D147" s="2">
        <v>950</v>
      </c>
      <c r="E147" s="2">
        <v>862</v>
      </c>
      <c r="F147" s="2">
        <v>13</v>
      </c>
      <c r="G147" s="2">
        <v>39</v>
      </c>
      <c r="H147" s="2">
        <f t="shared" si="12"/>
        <v>0.98491879350348033</v>
      </c>
      <c r="I147" s="2">
        <f t="shared" si="13"/>
        <v>0.91874999999999996</v>
      </c>
      <c r="J147" s="2">
        <f t="shared" si="10"/>
        <v>0.9073684210526316</v>
      </c>
      <c r="K147" s="2">
        <f t="shared" si="11"/>
        <v>82.107236842105266</v>
      </c>
      <c r="L147" s="8">
        <f t="shared" si="14"/>
        <v>1.5081206496519721E-2</v>
      </c>
    </row>
    <row r="148" spans="1:12" x14ac:dyDescent="0.35">
      <c r="A148" s="2" t="s">
        <v>29</v>
      </c>
      <c r="B148" s="2" t="s">
        <v>8</v>
      </c>
      <c r="C148" s="2" t="s">
        <v>11</v>
      </c>
      <c r="D148" s="2">
        <v>1000</v>
      </c>
      <c r="E148" s="2">
        <v>897</v>
      </c>
      <c r="F148" s="2">
        <v>15</v>
      </c>
      <c r="G148" s="2">
        <v>9</v>
      </c>
      <c r="H148" s="2">
        <f t="shared" si="12"/>
        <v>0.98327759197324416</v>
      </c>
      <c r="I148" s="2">
        <f t="shared" si="13"/>
        <v>0.98124999999999996</v>
      </c>
      <c r="J148" s="2">
        <f t="shared" si="10"/>
        <v>0.89700000000000002</v>
      </c>
      <c r="K148" s="2">
        <f t="shared" si="11"/>
        <v>86.546249999999986</v>
      </c>
      <c r="L148" s="8">
        <f t="shared" si="14"/>
        <v>1.6722408026755852E-2</v>
      </c>
    </row>
    <row r="149" spans="1:12" x14ac:dyDescent="0.35">
      <c r="A149" s="2" t="s">
        <v>29</v>
      </c>
      <c r="B149" s="2" t="s">
        <v>12</v>
      </c>
      <c r="C149" s="2" t="s">
        <v>9</v>
      </c>
      <c r="D149" s="2">
        <v>1050</v>
      </c>
      <c r="E149" s="2">
        <v>1034</v>
      </c>
      <c r="F149" s="2">
        <v>45</v>
      </c>
      <c r="G149" s="2">
        <v>25</v>
      </c>
      <c r="H149" s="2">
        <f t="shared" si="12"/>
        <v>0.95647969052224369</v>
      </c>
      <c r="I149" s="2">
        <f t="shared" si="13"/>
        <v>0.94791666666666663</v>
      </c>
      <c r="J149" s="2">
        <f t="shared" si="10"/>
        <v>0.98476190476190473</v>
      </c>
      <c r="K149" s="2">
        <f t="shared" si="11"/>
        <v>89.284722222222214</v>
      </c>
      <c r="L149" s="8">
        <f t="shared" si="14"/>
        <v>4.3520309477756286E-2</v>
      </c>
    </row>
    <row r="150" spans="1:12" x14ac:dyDescent="0.35">
      <c r="A150" s="2" t="s">
        <v>29</v>
      </c>
      <c r="B150" s="2" t="s">
        <v>12</v>
      </c>
      <c r="C150" s="2" t="s">
        <v>10</v>
      </c>
      <c r="D150" s="2">
        <v>1100</v>
      </c>
      <c r="E150" s="2">
        <v>1076</v>
      </c>
      <c r="F150" s="2">
        <v>25</v>
      </c>
      <c r="G150" s="2">
        <v>39</v>
      </c>
      <c r="H150" s="2">
        <f t="shared" si="12"/>
        <v>0.97676579925650553</v>
      </c>
      <c r="I150" s="2">
        <f t="shared" si="13"/>
        <v>0.91874999999999996</v>
      </c>
      <c r="J150" s="2">
        <f t="shared" si="10"/>
        <v>0.97818181818181815</v>
      </c>
      <c r="K150" s="2">
        <f t="shared" si="11"/>
        <v>87.782386363636363</v>
      </c>
      <c r="L150" s="8">
        <f t="shared" si="14"/>
        <v>2.3234200743494422E-2</v>
      </c>
    </row>
    <row r="151" spans="1:12" x14ac:dyDescent="0.35">
      <c r="A151" s="2" t="s">
        <v>29</v>
      </c>
      <c r="B151" s="2" t="s">
        <v>12</v>
      </c>
      <c r="C151" s="2" t="s">
        <v>11</v>
      </c>
      <c r="D151" s="2">
        <v>950</v>
      </c>
      <c r="E151" s="2">
        <v>859</v>
      </c>
      <c r="F151" s="2">
        <v>28</v>
      </c>
      <c r="G151" s="2">
        <v>6</v>
      </c>
      <c r="H151" s="2">
        <f t="shared" si="12"/>
        <v>0.96740395809080326</v>
      </c>
      <c r="I151" s="2">
        <f t="shared" si="13"/>
        <v>0.98750000000000004</v>
      </c>
      <c r="J151" s="2">
        <f t="shared" si="10"/>
        <v>0.90421052631578946</v>
      </c>
      <c r="K151" s="2">
        <f t="shared" si="11"/>
        <v>86.380263157894731</v>
      </c>
      <c r="L151" s="8">
        <f t="shared" si="14"/>
        <v>3.2596041909196738E-2</v>
      </c>
    </row>
    <row r="152" spans="1:12" x14ac:dyDescent="0.35">
      <c r="A152" s="2" t="s">
        <v>29</v>
      </c>
      <c r="B152" s="2" t="s">
        <v>13</v>
      </c>
      <c r="C152" s="2" t="s">
        <v>9</v>
      </c>
      <c r="D152" s="2">
        <v>1050</v>
      </c>
      <c r="E152" s="2">
        <v>1012</v>
      </c>
      <c r="F152" s="2">
        <v>45</v>
      </c>
      <c r="G152" s="2">
        <v>12</v>
      </c>
      <c r="H152" s="2">
        <f t="shared" si="12"/>
        <v>0.9555335968379447</v>
      </c>
      <c r="I152" s="2">
        <f t="shared" si="13"/>
        <v>0.97499999999999998</v>
      </c>
      <c r="J152" s="2">
        <f t="shared" si="10"/>
        <v>0.96380952380952378</v>
      </c>
      <c r="K152" s="2">
        <f t="shared" si="11"/>
        <v>89.792857142857144</v>
      </c>
      <c r="L152" s="8">
        <f t="shared" si="14"/>
        <v>4.4466403162055336E-2</v>
      </c>
    </row>
    <row r="153" spans="1:12" x14ac:dyDescent="0.35">
      <c r="A153" s="2" t="s">
        <v>29</v>
      </c>
      <c r="B153" s="2" t="s">
        <v>13</v>
      </c>
      <c r="C153" s="2" t="s">
        <v>10</v>
      </c>
      <c r="D153" s="2">
        <v>1000</v>
      </c>
      <c r="E153" s="2">
        <v>991</v>
      </c>
      <c r="F153" s="2">
        <v>28</v>
      </c>
      <c r="G153" s="2">
        <v>48</v>
      </c>
      <c r="H153" s="2">
        <f t="shared" si="12"/>
        <v>0.97174571140262356</v>
      </c>
      <c r="I153" s="2">
        <f t="shared" si="13"/>
        <v>0.9</v>
      </c>
      <c r="J153" s="2">
        <f t="shared" si="10"/>
        <v>0.99099999999999999</v>
      </c>
      <c r="K153" s="2">
        <f t="shared" si="11"/>
        <v>86.67</v>
      </c>
      <c r="L153" s="8">
        <f t="shared" si="14"/>
        <v>2.8254288597376387E-2</v>
      </c>
    </row>
    <row r="154" spans="1:12" x14ac:dyDescent="0.35">
      <c r="A154" s="2" t="s">
        <v>29</v>
      </c>
      <c r="B154" s="2" t="s">
        <v>13</v>
      </c>
      <c r="C154" s="2" t="s">
        <v>11</v>
      </c>
      <c r="D154" s="2">
        <v>1050</v>
      </c>
      <c r="E154" s="2">
        <v>950</v>
      </c>
      <c r="F154" s="2">
        <v>45</v>
      </c>
      <c r="G154" s="2">
        <v>59</v>
      </c>
      <c r="H154" s="2">
        <f t="shared" si="12"/>
        <v>0.95263157894736838</v>
      </c>
      <c r="I154" s="2">
        <f t="shared" si="13"/>
        <v>0.87708333333333333</v>
      </c>
      <c r="J154" s="2">
        <f t="shared" si="10"/>
        <v>0.90476190476190477</v>
      </c>
      <c r="K154" s="2">
        <f t="shared" si="11"/>
        <v>75.596230158730165</v>
      </c>
      <c r="L154" s="8">
        <f t="shared" si="14"/>
        <v>4.736842105263158E-2</v>
      </c>
    </row>
    <row r="155" spans="1:12" x14ac:dyDescent="0.35">
      <c r="A155" s="2" t="s">
        <v>30</v>
      </c>
      <c r="B155" s="2" t="s">
        <v>8</v>
      </c>
      <c r="C155" s="2" t="s">
        <v>9</v>
      </c>
      <c r="D155" s="2">
        <v>900</v>
      </c>
      <c r="E155" s="2">
        <v>877</v>
      </c>
      <c r="F155" s="2">
        <v>38</v>
      </c>
      <c r="G155" s="2">
        <v>10</v>
      </c>
      <c r="H155" s="2">
        <f t="shared" si="12"/>
        <v>0.95667046750285067</v>
      </c>
      <c r="I155" s="2">
        <f t="shared" si="13"/>
        <v>0.97916666666666663</v>
      </c>
      <c r="J155" s="2">
        <f t="shared" si="10"/>
        <v>0.97444444444444445</v>
      </c>
      <c r="K155" s="2">
        <f t="shared" si="11"/>
        <v>91.280092592592595</v>
      </c>
      <c r="L155" s="8">
        <f t="shared" si="14"/>
        <v>4.3329532497149374E-2</v>
      </c>
    </row>
    <row r="156" spans="1:12" x14ac:dyDescent="0.35">
      <c r="A156" s="2" t="s">
        <v>30</v>
      </c>
      <c r="B156" s="2" t="s">
        <v>8</v>
      </c>
      <c r="C156" s="2" t="s">
        <v>10</v>
      </c>
      <c r="D156" s="2">
        <v>900</v>
      </c>
      <c r="E156" s="2">
        <v>855</v>
      </c>
      <c r="F156" s="2">
        <v>38</v>
      </c>
      <c r="G156" s="2">
        <v>35</v>
      </c>
      <c r="H156" s="2">
        <f t="shared" si="12"/>
        <v>0.9555555555555556</v>
      </c>
      <c r="I156" s="2">
        <f t="shared" si="13"/>
        <v>0.92708333333333337</v>
      </c>
      <c r="J156" s="2">
        <f t="shared" ref="J156:J219" si="15">(E156/D156)</f>
        <v>0.95</v>
      </c>
      <c r="K156" s="2">
        <f t="shared" ref="K156:K219" si="16">(H156*I156*J156) *100</f>
        <v>84.158564814814824</v>
      </c>
      <c r="L156" s="8">
        <f t="shared" si="14"/>
        <v>4.4444444444444446E-2</v>
      </c>
    </row>
    <row r="157" spans="1:12" x14ac:dyDescent="0.35">
      <c r="A157" s="2" t="s">
        <v>30</v>
      </c>
      <c r="B157" s="2" t="s">
        <v>8</v>
      </c>
      <c r="C157" s="2" t="s">
        <v>11</v>
      </c>
      <c r="D157" s="2">
        <v>1050</v>
      </c>
      <c r="E157" s="2">
        <v>941</v>
      </c>
      <c r="F157" s="2">
        <v>43</v>
      </c>
      <c r="G157" s="2">
        <v>40</v>
      </c>
      <c r="H157" s="2">
        <f t="shared" si="12"/>
        <v>0.95430393198724761</v>
      </c>
      <c r="I157" s="2">
        <f t="shared" si="13"/>
        <v>0.91666666666666663</v>
      </c>
      <c r="J157" s="2">
        <f t="shared" si="15"/>
        <v>0.8961904761904762</v>
      </c>
      <c r="K157" s="2">
        <f t="shared" si="16"/>
        <v>78.396825396825392</v>
      </c>
      <c r="L157" s="8">
        <f t="shared" si="14"/>
        <v>4.5696068012752389E-2</v>
      </c>
    </row>
    <row r="158" spans="1:12" x14ac:dyDescent="0.35">
      <c r="A158" s="2" t="s">
        <v>30</v>
      </c>
      <c r="B158" s="2" t="s">
        <v>12</v>
      </c>
      <c r="C158" s="2" t="s">
        <v>9</v>
      </c>
      <c r="D158" s="2">
        <v>1050</v>
      </c>
      <c r="E158" s="2">
        <v>977</v>
      </c>
      <c r="F158" s="2">
        <v>44</v>
      </c>
      <c r="G158" s="2">
        <v>29</v>
      </c>
      <c r="H158" s="2">
        <f t="shared" si="12"/>
        <v>0.95496417604912998</v>
      </c>
      <c r="I158" s="2">
        <f t="shared" si="13"/>
        <v>0.93958333333333333</v>
      </c>
      <c r="J158" s="2">
        <f t="shared" si="15"/>
        <v>0.93047619047619046</v>
      </c>
      <c r="K158" s="2">
        <f t="shared" si="16"/>
        <v>83.48869047619047</v>
      </c>
      <c r="L158" s="8">
        <f t="shared" si="14"/>
        <v>4.503582395087001E-2</v>
      </c>
    </row>
    <row r="159" spans="1:12" x14ac:dyDescent="0.35">
      <c r="A159" s="2" t="s">
        <v>30</v>
      </c>
      <c r="B159" s="2" t="s">
        <v>12</v>
      </c>
      <c r="C159" s="2" t="s">
        <v>10</v>
      </c>
      <c r="D159" s="2">
        <v>950</v>
      </c>
      <c r="E159" s="2">
        <v>892</v>
      </c>
      <c r="F159" s="2">
        <v>26</v>
      </c>
      <c r="G159" s="2">
        <v>3</v>
      </c>
      <c r="H159" s="2">
        <f t="shared" si="12"/>
        <v>0.97085201793721976</v>
      </c>
      <c r="I159" s="2">
        <f t="shared" si="13"/>
        <v>0.99375000000000002</v>
      </c>
      <c r="J159" s="2">
        <f t="shared" si="15"/>
        <v>0.93894736842105264</v>
      </c>
      <c r="K159" s="2">
        <f t="shared" si="16"/>
        <v>90.588157894736852</v>
      </c>
      <c r="L159" s="8">
        <f t="shared" si="14"/>
        <v>2.914798206278027E-2</v>
      </c>
    </row>
    <row r="160" spans="1:12" x14ac:dyDescent="0.35">
      <c r="A160" s="2" t="s">
        <v>30</v>
      </c>
      <c r="B160" s="2" t="s">
        <v>12</v>
      </c>
      <c r="C160" s="2" t="s">
        <v>11</v>
      </c>
      <c r="D160" s="2">
        <v>950</v>
      </c>
      <c r="E160" s="2">
        <v>891</v>
      </c>
      <c r="F160" s="2">
        <v>25</v>
      </c>
      <c r="G160" s="2">
        <v>13</v>
      </c>
      <c r="H160" s="2">
        <f t="shared" si="12"/>
        <v>0.97194163860830529</v>
      </c>
      <c r="I160" s="2">
        <f t="shared" si="13"/>
        <v>0.97291666666666665</v>
      </c>
      <c r="J160" s="2">
        <f t="shared" si="15"/>
        <v>0.93789473684210523</v>
      </c>
      <c r="K160" s="2">
        <f t="shared" si="16"/>
        <v>88.68903508771929</v>
      </c>
      <c r="L160" s="8">
        <f t="shared" si="14"/>
        <v>2.8058361391694726E-2</v>
      </c>
    </row>
    <row r="161" spans="1:12" x14ac:dyDescent="0.35">
      <c r="A161" s="2" t="s">
        <v>30</v>
      </c>
      <c r="B161" s="2" t="s">
        <v>13</v>
      </c>
      <c r="C161" s="2" t="s">
        <v>9</v>
      </c>
      <c r="D161" s="2">
        <v>1000</v>
      </c>
      <c r="E161" s="2">
        <v>972</v>
      </c>
      <c r="F161" s="2">
        <v>19</v>
      </c>
      <c r="G161" s="2">
        <v>51</v>
      </c>
      <c r="H161" s="2">
        <f t="shared" si="12"/>
        <v>0.98045267489711929</v>
      </c>
      <c r="I161" s="2">
        <f t="shared" si="13"/>
        <v>0.89375000000000004</v>
      </c>
      <c r="J161" s="2">
        <f t="shared" si="15"/>
        <v>0.97199999999999998</v>
      </c>
      <c r="K161" s="2">
        <f t="shared" si="16"/>
        <v>85.174374999999998</v>
      </c>
      <c r="L161" s="8">
        <f t="shared" si="14"/>
        <v>1.954732510288066E-2</v>
      </c>
    </row>
    <row r="162" spans="1:12" x14ac:dyDescent="0.35">
      <c r="A162" s="2" t="s">
        <v>30</v>
      </c>
      <c r="B162" s="2" t="s">
        <v>13</v>
      </c>
      <c r="C162" s="2" t="s">
        <v>10</v>
      </c>
      <c r="D162" s="2">
        <v>900</v>
      </c>
      <c r="E162" s="2">
        <v>811</v>
      </c>
      <c r="F162" s="2">
        <v>14</v>
      </c>
      <c r="G162" s="2">
        <v>11</v>
      </c>
      <c r="H162" s="2">
        <f t="shared" si="12"/>
        <v>0.98273736128236744</v>
      </c>
      <c r="I162" s="2">
        <f t="shared" si="13"/>
        <v>0.9770833333333333</v>
      </c>
      <c r="J162" s="2">
        <f t="shared" si="15"/>
        <v>0.90111111111111108</v>
      </c>
      <c r="K162" s="2">
        <f t="shared" si="16"/>
        <v>86.526157407407396</v>
      </c>
      <c r="L162" s="8">
        <f t="shared" si="14"/>
        <v>1.7262638717632551E-2</v>
      </c>
    </row>
    <row r="163" spans="1:12" x14ac:dyDescent="0.35">
      <c r="A163" s="2" t="s">
        <v>30</v>
      </c>
      <c r="B163" s="2" t="s">
        <v>13</v>
      </c>
      <c r="C163" s="2" t="s">
        <v>11</v>
      </c>
      <c r="D163" s="2">
        <v>1100</v>
      </c>
      <c r="E163" s="2">
        <v>998</v>
      </c>
      <c r="F163" s="2">
        <v>43</v>
      </c>
      <c r="G163" s="2">
        <v>33</v>
      </c>
      <c r="H163" s="2">
        <f t="shared" si="12"/>
        <v>0.95691382765531063</v>
      </c>
      <c r="I163" s="2">
        <f t="shared" si="13"/>
        <v>0.93125000000000002</v>
      </c>
      <c r="J163" s="2">
        <f t="shared" si="15"/>
        <v>0.90727272727272723</v>
      </c>
      <c r="K163" s="2">
        <f t="shared" si="16"/>
        <v>80.849431818181813</v>
      </c>
      <c r="L163" s="8">
        <f t="shared" si="14"/>
        <v>4.308617234468938E-2</v>
      </c>
    </row>
    <row r="164" spans="1:12" x14ac:dyDescent="0.35">
      <c r="A164" s="2" t="s">
        <v>31</v>
      </c>
      <c r="B164" s="2" t="s">
        <v>8</v>
      </c>
      <c r="C164" s="2" t="s">
        <v>9</v>
      </c>
      <c r="D164" s="2">
        <v>900</v>
      </c>
      <c r="E164" s="2">
        <v>887</v>
      </c>
      <c r="F164" s="2">
        <v>40</v>
      </c>
      <c r="G164" s="2">
        <v>45</v>
      </c>
      <c r="H164" s="2">
        <f t="shared" si="12"/>
        <v>0.95490417136414885</v>
      </c>
      <c r="I164" s="2">
        <f t="shared" si="13"/>
        <v>0.90625</v>
      </c>
      <c r="J164" s="2">
        <f t="shared" si="15"/>
        <v>0.98555555555555552</v>
      </c>
      <c r="K164" s="2">
        <f t="shared" si="16"/>
        <v>85.288194444444443</v>
      </c>
      <c r="L164" s="8">
        <f t="shared" si="14"/>
        <v>4.5095828635851182E-2</v>
      </c>
    </row>
    <row r="165" spans="1:12" x14ac:dyDescent="0.35">
      <c r="A165" s="2" t="s">
        <v>31</v>
      </c>
      <c r="B165" s="2" t="s">
        <v>8</v>
      </c>
      <c r="C165" s="2" t="s">
        <v>10</v>
      </c>
      <c r="D165" s="2">
        <v>1050</v>
      </c>
      <c r="E165" s="2">
        <v>978</v>
      </c>
      <c r="F165" s="2">
        <v>25</v>
      </c>
      <c r="G165" s="2">
        <v>38</v>
      </c>
      <c r="H165" s="2">
        <f t="shared" si="12"/>
        <v>0.97443762781186094</v>
      </c>
      <c r="I165" s="2">
        <f t="shared" si="13"/>
        <v>0.92083333333333328</v>
      </c>
      <c r="J165" s="2">
        <f t="shared" si="15"/>
        <v>0.93142857142857138</v>
      </c>
      <c r="K165" s="2">
        <f t="shared" si="16"/>
        <v>83.576587301587296</v>
      </c>
      <c r="L165" s="8">
        <f t="shared" si="14"/>
        <v>2.556237218813906E-2</v>
      </c>
    </row>
    <row r="166" spans="1:12" x14ac:dyDescent="0.35">
      <c r="A166" s="2" t="s">
        <v>31</v>
      </c>
      <c r="B166" s="2" t="s">
        <v>8</v>
      </c>
      <c r="C166" s="2" t="s">
        <v>11</v>
      </c>
      <c r="D166" s="2">
        <v>900</v>
      </c>
      <c r="E166" s="2">
        <v>784</v>
      </c>
      <c r="F166" s="2">
        <v>10</v>
      </c>
      <c r="G166" s="2">
        <v>15</v>
      </c>
      <c r="H166" s="2">
        <f t="shared" si="12"/>
        <v>0.98724489795918369</v>
      </c>
      <c r="I166" s="2">
        <f t="shared" si="13"/>
        <v>0.96875</v>
      </c>
      <c r="J166" s="2">
        <f t="shared" si="15"/>
        <v>0.87111111111111106</v>
      </c>
      <c r="K166" s="2">
        <f t="shared" si="16"/>
        <v>83.3125</v>
      </c>
      <c r="L166" s="8">
        <f t="shared" si="14"/>
        <v>1.2755102040816327E-2</v>
      </c>
    </row>
    <row r="167" spans="1:12" x14ac:dyDescent="0.35">
      <c r="A167" s="2" t="s">
        <v>31</v>
      </c>
      <c r="B167" s="2" t="s">
        <v>12</v>
      </c>
      <c r="C167" s="2" t="s">
        <v>9</v>
      </c>
      <c r="D167" s="2">
        <v>1050</v>
      </c>
      <c r="E167" s="2">
        <v>1015</v>
      </c>
      <c r="F167" s="2">
        <v>48</v>
      </c>
      <c r="G167" s="2">
        <v>36</v>
      </c>
      <c r="H167" s="2">
        <f t="shared" si="12"/>
        <v>0.9527093596059113</v>
      </c>
      <c r="I167" s="2">
        <f t="shared" si="13"/>
        <v>0.92500000000000004</v>
      </c>
      <c r="J167" s="2">
        <f t="shared" si="15"/>
        <v>0.96666666666666667</v>
      </c>
      <c r="K167" s="2">
        <f t="shared" si="16"/>
        <v>85.188095238095229</v>
      </c>
      <c r="L167" s="8">
        <f t="shared" si="14"/>
        <v>4.7290640394088673E-2</v>
      </c>
    </row>
    <row r="168" spans="1:12" x14ac:dyDescent="0.35">
      <c r="A168" s="2" t="s">
        <v>31</v>
      </c>
      <c r="B168" s="2" t="s">
        <v>12</v>
      </c>
      <c r="C168" s="2" t="s">
        <v>10</v>
      </c>
      <c r="D168" s="2">
        <v>1050</v>
      </c>
      <c r="E168" s="2">
        <v>973</v>
      </c>
      <c r="F168" s="2">
        <v>22</v>
      </c>
      <c r="G168" s="2">
        <v>31</v>
      </c>
      <c r="H168" s="2">
        <f t="shared" si="12"/>
        <v>0.97738951695786225</v>
      </c>
      <c r="I168" s="2">
        <f t="shared" si="13"/>
        <v>0.93541666666666667</v>
      </c>
      <c r="J168" s="2">
        <f t="shared" si="15"/>
        <v>0.92666666666666664</v>
      </c>
      <c r="K168" s="2">
        <f t="shared" si="16"/>
        <v>84.722023809523805</v>
      </c>
      <c r="L168" s="8">
        <f t="shared" si="14"/>
        <v>2.2610483042137718E-2</v>
      </c>
    </row>
    <row r="169" spans="1:12" x14ac:dyDescent="0.35">
      <c r="A169" s="2" t="s">
        <v>31</v>
      </c>
      <c r="B169" s="2" t="s">
        <v>12</v>
      </c>
      <c r="C169" s="2" t="s">
        <v>11</v>
      </c>
      <c r="D169" s="2">
        <v>1050</v>
      </c>
      <c r="E169" s="2">
        <v>931</v>
      </c>
      <c r="F169" s="2">
        <v>44</v>
      </c>
      <c r="G169" s="2">
        <v>40</v>
      </c>
      <c r="H169" s="2">
        <f t="shared" si="12"/>
        <v>0.95273899033297527</v>
      </c>
      <c r="I169" s="2">
        <f t="shared" si="13"/>
        <v>0.91666666666666663</v>
      </c>
      <c r="J169" s="2">
        <f t="shared" si="15"/>
        <v>0.88666666666666671</v>
      </c>
      <c r="K169" s="2">
        <f t="shared" si="16"/>
        <v>77.436507936507937</v>
      </c>
      <c r="L169" s="8">
        <f t="shared" si="14"/>
        <v>4.7261009667024706E-2</v>
      </c>
    </row>
    <row r="170" spans="1:12" x14ac:dyDescent="0.35">
      <c r="A170" s="2" t="s">
        <v>31</v>
      </c>
      <c r="B170" s="2" t="s">
        <v>13</v>
      </c>
      <c r="C170" s="2" t="s">
        <v>9</v>
      </c>
      <c r="D170" s="2">
        <v>900</v>
      </c>
      <c r="E170" s="2">
        <v>795</v>
      </c>
      <c r="F170" s="2">
        <v>19</v>
      </c>
      <c r="G170" s="2">
        <v>18</v>
      </c>
      <c r="H170" s="2">
        <f t="shared" si="12"/>
        <v>0.97610062893081762</v>
      </c>
      <c r="I170" s="2">
        <f t="shared" si="13"/>
        <v>0.96250000000000002</v>
      </c>
      <c r="J170" s="2">
        <f t="shared" si="15"/>
        <v>0.8833333333333333</v>
      </c>
      <c r="K170" s="2">
        <f t="shared" si="16"/>
        <v>82.988888888888894</v>
      </c>
      <c r="L170" s="8">
        <f t="shared" si="14"/>
        <v>2.3899371069182392E-2</v>
      </c>
    </row>
    <row r="171" spans="1:12" x14ac:dyDescent="0.35">
      <c r="A171" s="2" t="s">
        <v>31</v>
      </c>
      <c r="B171" s="2" t="s">
        <v>13</v>
      </c>
      <c r="C171" s="2" t="s">
        <v>10</v>
      </c>
      <c r="D171" s="2">
        <v>900</v>
      </c>
      <c r="E171" s="2">
        <v>882</v>
      </c>
      <c r="F171" s="2">
        <v>6</v>
      </c>
      <c r="G171" s="2">
        <v>0</v>
      </c>
      <c r="H171" s="2">
        <f t="shared" si="12"/>
        <v>0.99319727891156462</v>
      </c>
      <c r="I171" s="2">
        <f t="shared" si="13"/>
        <v>1</v>
      </c>
      <c r="J171" s="2">
        <f t="shared" si="15"/>
        <v>0.98</v>
      </c>
      <c r="K171" s="2">
        <f t="shared" si="16"/>
        <v>97.333333333333329</v>
      </c>
      <c r="L171" s="8">
        <f t="shared" si="14"/>
        <v>6.8027210884353739E-3</v>
      </c>
    </row>
    <row r="172" spans="1:12" x14ac:dyDescent="0.35">
      <c r="A172" s="2" t="s">
        <v>31</v>
      </c>
      <c r="B172" s="2" t="s">
        <v>13</v>
      </c>
      <c r="C172" s="2" t="s">
        <v>11</v>
      </c>
      <c r="D172" s="2">
        <v>900</v>
      </c>
      <c r="E172" s="2">
        <v>866</v>
      </c>
      <c r="F172" s="2">
        <v>30</v>
      </c>
      <c r="G172" s="2">
        <v>34</v>
      </c>
      <c r="H172" s="2">
        <f t="shared" si="12"/>
        <v>0.96535796766743653</v>
      </c>
      <c r="I172" s="2">
        <f t="shared" si="13"/>
        <v>0.9291666666666667</v>
      </c>
      <c r="J172" s="2">
        <f t="shared" si="15"/>
        <v>0.9622222222222222</v>
      </c>
      <c r="K172" s="2">
        <f t="shared" si="16"/>
        <v>86.309259259259264</v>
      </c>
      <c r="L172" s="8">
        <f t="shared" si="14"/>
        <v>3.4642032332563508E-2</v>
      </c>
    </row>
    <row r="173" spans="1:12" x14ac:dyDescent="0.35">
      <c r="A173" s="2" t="s">
        <v>32</v>
      </c>
      <c r="B173" s="2" t="s">
        <v>8</v>
      </c>
      <c r="C173" s="2" t="s">
        <v>9</v>
      </c>
      <c r="D173" s="2">
        <v>1000</v>
      </c>
      <c r="E173" s="2">
        <v>924</v>
      </c>
      <c r="F173" s="2">
        <v>14</v>
      </c>
      <c r="G173" s="2">
        <v>34</v>
      </c>
      <c r="H173" s="2">
        <f t="shared" si="12"/>
        <v>0.98484848484848486</v>
      </c>
      <c r="I173" s="2">
        <f t="shared" si="13"/>
        <v>0.9291666666666667</v>
      </c>
      <c r="J173" s="2">
        <f t="shared" si="15"/>
        <v>0.92400000000000004</v>
      </c>
      <c r="K173" s="2">
        <f t="shared" si="16"/>
        <v>84.554166666666674</v>
      </c>
      <c r="L173" s="8">
        <f t="shared" si="14"/>
        <v>1.5151515151515152E-2</v>
      </c>
    </row>
    <row r="174" spans="1:12" x14ac:dyDescent="0.35">
      <c r="A174" s="2" t="s">
        <v>32</v>
      </c>
      <c r="B174" s="2" t="s">
        <v>8</v>
      </c>
      <c r="C174" s="2" t="s">
        <v>10</v>
      </c>
      <c r="D174" s="2">
        <v>1050</v>
      </c>
      <c r="E174" s="2">
        <v>1026</v>
      </c>
      <c r="F174" s="2">
        <v>21</v>
      </c>
      <c r="G174" s="2">
        <v>56</v>
      </c>
      <c r="H174" s="2">
        <f t="shared" si="12"/>
        <v>0.97953216374269003</v>
      </c>
      <c r="I174" s="2">
        <f t="shared" si="13"/>
        <v>0.8833333333333333</v>
      </c>
      <c r="J174" s="2">
        <f t="shared" si="15"/>
        <v>0.97714285714285709</v>
      </c>
      <c r="K174" s="2">
        <f t="shared" si="16"/>
        <v>84.547619047619037</v>
      </c>
      <c r="L174" s="8">
        <f t="shared" si="14"/>
        <v>2.046783625730994E-2</v>
      </c>
    </row>
    <row r="175" spans="1:12" x14ac:dyDescent="0.35">
      <c r="A175" s="2" t="s">
        <v>32</v>
      </c>
      <c r="B175" s="2" t="s">
        <v>8</v>
      </c>
      <c r="C175" s="2" t="s">
        <v>11</v>
      </c>
      <c r="D175" s="2">
        <v>1050</v>
      </c>
      <c r="E175" s="2">
        <v>1048</v>
      </c>
      <c r="F175" s="2">
        <v>26</v>
      </c>
      <c r="G175" s="2">
        <v>34</v>
      </c>
      <c r="H175" s="2">
        <f t="shared" si="12"/>
        <v>0.97519083969465647</v>
      </c>
      <c r="I175" s="2">
        <f t="shared" si="13"/>
        <v>0.9291666666666667</v>
      </c>
      <c r="J175" s="2">
        <f t="shared" si="15"/>
        <v>0.99809523809523815</v>
      </c>
      <c r="K175" s="2">
        <f t="shared" si="16"/>
        <v>90.438888888888897</v>
      </c>
      <c r="L175" s="8">
        <f t="shared" si="14"/>
        <v>2.4809160305343511E-2</v>
      </c>
    </row>
    <row r="176" spans="1:12" x14ac:dyDescent="0.35">
      <c r="A176" s="2" t="s">
        <v>32</v>
      </c>
      <c r="B176" s="2" t="s">
        <v>12</v>
      </c>
      <c r="C176" s="2" t="s">
        <v>9</v>
      </c>
      <c r="D176" s="2">
        <v>900</v>
      </c>
      <c r="E176" s="2">
        <v>855</v>
      </c>
      <c r="F176" s="2">
        <v>22</v>
      </c>
      <c r="G176" s="2">
        <v>46</v>
      </c>
      <c r="H176" s="2">
        <f t="shared" si="12"/>
        <v>0.97426900584795317</v>
      </c>
      <c r="I176" s="2">
        <f t="shared" si="13"/>
        <v>0.90416666666666667</v>
      </c>
      <c r="J176" s="2">
        <f t="shared" si="15"/>
        <v>0.95</v>
      </c>
      <c r="K176" s="2">
        <f t="shared" si="16"/>
        <v>83.685648148148147</v>
      </c>
      <c r="L176" s="8">
        <f t="shared" si="14"/>
        <v>2.5730994152046785E-2</v>
      </c>
    </row>
    <row r="177" spans="1:12" x14ac:dyDescent="0.35">
      <c r="A177" s="2" t="s">
        <v>32</v>
      </c>
      <c r="B177" s="2" t="s">
        <v>12</v>
      </c>
      <c r="C177" s="2" t="s">
        <v>10</v>
      </c>
      <c r="D177" s="2">
        <v>1100</v>
      </c>
      <c r="E177" s="2">
        <v>1075</v>
      </c>
      <c r="F177" s="2">
        <v>42</v>
      </c>
      <c r="G177" s="2">
        <v>32</v>
      </c>
      <c r="H177" s="2">
        <f t="shared" si="12"/>
        <v>0.96093023255813959</v>
      </c>
      <c r="I177" s="2">
        <f t="shared" si="13"/>
        <v>0.93333333333333335</v>
      </c>
      <c r="J177" s="2">
        <f t="shared" si="15"/>
        <v>0.97727272727272729</v>
      </c>
      <c r="K177" s="2">
        <f t="shared" si="16"/>
        <v>87.64848484848487</v>
      </c>
      <c r="L177" s="8">
        <f t="shared" si="14"/>
        <v>3.9069767441860463E-2</v>
      </c>
    </row>
    <row r="178" spans="1:12" x14ac:dyDescent="0.35">
      <c r="A178" s="2" t="s">
        <v>32</v>
      </c>
      <c r="B178" s="2" t="s">
        <v>12</v>
      </c>
      <c r="C178" s="2" t="s">
        <v>11</v>
      </c>
      <c r="D178" s="2">
        <v>1100</v>
      </c>
      <c r="E178" s="2">
        <v>982</v>
      </c>
      <c r="F178" s="2">
        <v>20</v>
      </c>
      <c r="G178" s="2">
        <v>46</v>
      </c>
      <c r="H178" s="2">
        <f t="shared" si="12"/>
        <v>0.97963340122199594</v>
      </c>
      <c r="I178" s="2">
        <f t="shared" si="13"/>
        <v>0.90416666666666667</v>
      </c>
      <c r="J178" s="2">
        <f t="shared" si="15"/>
        <v>0.8927272727272727</v>
      </c>
      <c r="K178" s="2">
        <f t="shared" si="16"/>
        <v>79.073484848484853</v>
      </c>
      <c r="L178" s="8">
        <f t="shared" si="14"/>
        <v>2.0366598778004074E-2</v>
      </c>
    </row>
    <row r="179" spans="1:12" x14ac:dyDescent="0.35">
      <c r="A179" s="2" t="s">
        <v>32</v>
      </c>
      <c r="B179" s="2" t="s">
        <v>13</v>
      </c>
      <c r="C179" s="2" t="s">
        <v>9</v>
      </c>
      <c r="D179" s="2">
        <v>1100</v>
      </c>
      <c r="E179" s="2">
        <v>997</v>
      </c>
      <c r="F179" s="2">
        <v>31</v>
      </c>
      <c r="G179" s="2">
        <v>52</v>
      </c>
      <c r="H179" s="2">
        <f t="shared" si="12"/>
        <v>0.96890672016048141</v>
      </c>
      <c r="I179" s="2">
        <f t="shared" si="13"/>
        <v>0.89166666666666672</v>
      </c>
      <c r="J179" s="2">
        <f t="shared" si="15"/>
        <v>0.90636363636363637</v>
      </c>
      <c r="K179" s="2">
        <f t="shared" si="16"/>
        <v>78.304545454545462</v>
      </c>
      <c r="L179" s="8">
        <f t="shared" si="14"/>
        <v>3.1093279839518557E-2</v>
      </c>
    </row>
    <row r="180" spans="1:12" x14ac:dyDescent="0.35">
      <c r="A180" s="2" t="s">
        <v>32</v>
      </c>
      <c r="B180" s="2" t="s">
        <v>13</v>
      </c>
      <c r="C180" s="2" t="s">
        <v>10</v>
      </c>
      <c r="D180" s="2">
        <v>900</v>
      </c>
      <c r="E180" s="2">
        <v>838</v>
      </c>
      <c r="F180" s="2">
        <v>18</v>
      </c>
      <c r="G180" s="2">
        <v>39</v>
      </c>
      <c r="H180" s="2">
        <f t="shared" si="12"/>
        <v>0.97852028639618138</v>
      </c>
      <c r="I180" s="2">
        <f t="shared" si="13"/>
        <v>0.91874999999999996</v>
      </c>
      <c r="J180" s="2">
        <f t="shared" si="15"/>
        <v>0.93111111111111111</v>
      </c>
      <c r="K180" s="2">
        <f t="shared" si="16"/>
        <v>83.708333333333329</v>
      </c>
      <c r="L180" s="8">
        <f t="shared" si="14"/>
        <v>2.1479713603818614E-2</v>
      </c>
    </row>
    <row r="181" spans="1:12" x14ac:dyDescent="0.35">
      <c r="A181" s="2" t="s">
        <v>32</v>
      </c>
      <c r="B181" s="2" t="s">
        <v>13</v>
      </c>
      <c r="C181" s="2" t="s">
        <v>11</v>
      </c>
      <c r="D181" s="2">
        <v>1050</v>
      </c>
      <c r="E181" s="2">
        <v>950</v>
      </c>
      <c r="F181" s="2">
        <v>14</v>
      </c>
      <c r="G181" s="2">
        <v>18</v>
      </c>
      <c r="H181" s="2">
        <f t="shared" si="12"/>
        <v>0.98526315789473684</v>
      </c>
      <c r="I181" s="2">
        <f t="shared" si="13"/>
        <v>0.96250000000000002</v>
      </c>
      <c r="J181" s="2">
        <f t="shared" si="15"/>
        <v>0.90476190476190477</v>
      </c>
      <c r="K181" s="2">
        <f t="shared" si="16"/>
        <v>85.8</v>
      </c>
      <c r="L181" s="8">
        <f t="shared" si="14"/>
        <v>1.4736842105263158E-2</v>
      </c>
    </row>
    <row r="182" spans="1:12" x14ac:dyDescent="0.35">
      <c r="A182" s="2" t="s">
        <v>33</v>
      </c>
      <c r="B182" s="2" t="s">
        <v>8</v>
      </c>
      <c r="C182" s="2" t="s">
        <v>9</v>
      </c>
      <c r="D182" s="2">
        <v>950</v>
      </c>
      <c r="E182" s="2">
        <v>935</v>
      </c>
      <c r="F182" s="2">
        <v>17</v>
      </c>
      <c r="G182" s="2">
        <v>4</v>
      </c>
      <c r="H182" s="2">
        <f t="shared" si="12"/>
        <v>0.98181818181818181</v>
      </c>
      <c r="I182" s="2">
        <f t="shared" si="13"/>
        <v>0.9916666666666667</v>
      </c>
      <c r="J182" s="2">
        <f t="shared" si="15"/>
        <v>0.98421052631578942</v>
      </c>
      <c r="K182" s="2">
        <f t="shared" si="16"/>
        <v>95.826315789473682</v>
      </c>
      <c r="L182" s="8">
        <f t="shared" si="14"/>
        <v>1.8181818181818181E-2</v>
      </c>
    </row>
    <row r="183" spans="1:12" x14ac:dyDescent="0.35">
      <c r="A183" s="2" t="s">
        <v>33</v>
      </c>
      <c r="B183" s="2" t="s">
        <v>8</v>
      </c>
      <c r="C183" s="2" t="s">
        <v>10</v>
      </c>
      <c r="D183" s="2">
        <v>900</v>
      </c>
      <c r="E183" s="2">
        <v>818</v>
      </c>
      <c r="F183" s="2">
        <v>22</v>
      </c>
      <c r="G183" s="2">
        <v>31</v>
      </c>
      <c r="H183" s="2">
        <f t="shared" si="12"/>
        <v>0.97310513447432767</v>
      </c>
      <c r="I183" s="2">
        <f t="shared" si="13"/>
        <v>0.93541666666666667</v>
      </c>
      <c r="J183" s="2">
        <f t="shared" si="15"/>
        <v>0.90888888888888886</v>
      </c>
      <c r="K183" s="2">
        <f t="shared" si="16"/>
        <v>82.732407407407408</v>
      </c>
      <c r="L183" s="8">
        <f t="shared" si="14"/>
        <v>2.6894865525672371E-2</v>
      </c>
    </row>
    <row r="184" spans="1:12" x14ac:dyDescent="0.35">
      <c r="A184" s="2" t="s">
        <v>33</v>
      </c>
      <c r="B184" s="2" t="s">
        <v>8</v>
      </c>
      <c r="C184" s="2" t="s">
        <v>11</v>
      </c>
      <c r="D184" s="2">
        <v>1000</v>
      </c>
      <c r="E184" s="2">
        <v>951</v>
      </c>
      <c r="F184" s="2">
        <v>19</v>
      </c>
      <c r="G184" s="2">
        <v>10</v>
      </c>
      <c r="H184" s="2">
        <f t="shared" si="12"/>
        <v>0.98002103049421663</v>
      </c>
      <c r="I184" s="2">
        <f t="shared" si="13"/>
        <v>0.97916666666666663</v>
      </c>
      <c r="J184" s="2">
        <f t="shared" si="15"/>
        <v>0.95099999999999996</v>
      </c>
      <c r="K184" s="2">
        <f t="shared" si="16"/>
        <v>91.258333333333326</v>
      </c>
      <c r="L184" s="8">
        <f t="shared" si="14"/>
        <v>1.9978969505783387E-2</v>
      </c>
    </row>
    <row r="185" spans="1:12" x14ac:dyDescent="0.35">
      <c r="A185" s="2" t="s">
        <v>33</v>
      </c>
      <c r="B185" s="2" t="s">
        <v>12</v>
      </c>
      <c r="C185" s="2" t="s">
        <v>9</v>
      </c>
      <c r="D185" s="2">
        <v>900</v>
      </c>
      <c r="E185" s="2">
        <v>796</v>
      </c>
      <c r="F185" s="2">
        <v>21</v>
      </c>
      <c r="G185" s="2">
        <v>52</v>
      </c>
      <c r="H185" s="2">
        <f t="shared" si="12"/>
        <v>0.97361809045226133</v>
      </c>
      <c r="I185" s="2">
        <f t="shared" si="13"/>
        <v>0.89166666666666672</v>
      </c>
      <c r="J185" s="2">
        <f t="shared" si="15"/>
        <v>0.88444444444444448</v>
      </c>
      <c r="K185" s="2">
        <f t="shared" si="16"/>
        <v>76.782407407407419</v>
      </c>
      <c r="L185" s="8">
        <f t="shared" si="14"/>
        <v>2.6381909547738693E-2</v>
      </c>
    </row>
    <row r="186" spans="1:12" x14ac:dyDescent="0.35">
      <c r="A186" s="2" t="s">
        <v>33</v>
      </c>
      <c r="B186" s="2" t="s">
        <v>12</v>
      </c>
      <c r="C186" s="2" t="s">
        <v>10</v>
      </c>
      <c r="D186" s="2">
        <v>950</v>
      </c>
      <c r="E186" s="2">
        <v>909</v>
      </c>
      <c r="F186" s="2">
        <v>32</v>
      </c>
      <c r="G186" s="2">
        <v>59</v>
      </c>
      <c r="H186" s="2">
        <f t="shared" si="12"/>
        <v>0.96479647964796478</v>
      </c>
      <c r="I186" s="2">
        <f t="shared" si="13"/>
        <v>0.87708333333333333</v>
      </c>
      <c r="J186" s="2">
        <f t="shared" si="15"/>
        <v>0.95684210526315794</v>
      </c>
      <c r="K186" s="2">
        <f t="shared" si="16"/>
        <v>80.968640350877195</v>
      </c>
      <c r="L186" s="8">
        <f t="shared" si="14"/>
        <v>3.5203520352035202E-2</v>
      </c>
    </row>
    <row r="187" spans="1:12" x14ac:dyDescent="0.35">
      <c r="A187" s="2" t="s">
        <v>33</v>
      </c>
      <c r="B187" s="2" t="s">
        <v>12</v>
      </c>
      <c r="C187" s="2" t="s">
        <v>11</v>
      </c>
      <c r="D187" s="2">
        <v>1050</v>
      </c>
      <c r="E187" s="2">
        <v>972</v>
      </c>
      <c r="F187" s="2">
        <v>31</v>
      </c>
      <c r="G187" s="2">
        <v>39</v>
      </c>
      <c r="H187" s="2">
        <f t="shared" si="12"/>
        <v>0.96810699588477367</v>
      </c>
      <c r="I187" s="2">
        <f t="shared" si="13"/>
        <v>0.91874999999999996</v>
      </c>
      <c r="J187" s="2">
        <f t="shared" si="15"/>
        <v>0.92571428571428571</v>
      </c>
      <c r="K187" s="2">
        <f t="shared" si="16"/>
        <v>82.337499999999991</v>
      </c>
      <c r="L187" s="8">
        <f t="shared" si="14"/>
        <v>3.1893004115226338E-2</v>
      </c>
    </row>
    <row r="188" spans="1:12" x14ac:dyDescent="0.35">
      <c r="A188" s="2" t="s">
        <v>33</v>
      </c>
      <c r="B188" s="2" t="s">
        <v>13</v>
      </c>
      <c r="C188" s="2" t="s">
        <v>9</v>
      </c>
      <c r="D188" s="2">
        <v>900</v>
      </c>
      <c r="E188" s="2">
        <v>863</v>
      </c>
      <c r="F188" s="2">
        <v>10</v>
      </c>
      <c r="G188" s="2">
        <v>45</v>
      </c>
      <c r="H188" s="2">
        <f t="shared" si="12"/>
        <v>0.98841251448435685</v>
      </c>
      <c r="I188" s="2">
        <f t="shared" si="13"/>
        <v>0.90625</v>
      </c>
      <c r="J188" s="2">
        <f t="shared" si="15"/>
        <v>0.9588888888888889</v>
      </c>
      <c r="K188" s="2">
        <f t="shared" si="16"/>
        <v>85.8923611111111</v>
      </c>
      <c r="L188" s="8">
        <f t="shared" si="14"/>
        <v>1.1587485515643106E-2</v>
      </c>
    </row>
    <row r="189" spans="1:12" x14ac:dyDescent="0.35">
      <c r="A189" s="2" t="s">
        <v>33</v>
      </c>
      <c r="B189" s="2" t="s">
        <v>13</v>
      </c>
      <c r="C189" s="2" t="s">
        <v>10</v>
      </c>
      <c r="D189" s="2">
        <v>950</v>
      </c>
      <c r="E189" s="2">
        <v>908</v>
      </c>
      <c r="F189" s="2">
        <v>12</v>
      </c>
      <c r="G189" s="2">
        <v>14</v>
      </c>
      <c r="H189" s="2">
        <f t="shared" si="12"/>
        <v>0.986784140969163</v>
      </c>
      <c r="I189" s="2">
        <f t="shared" si="13"/>
        <v>0.97083333333333333</v>
      </c>
      <c r="J189" s="2">
        <f t="shared" si="15"/>
        <v>0.95578947368421052</v>
      </c>
      <c r="K189" s="2">
        <f t="shared" si="16"/>
        <v>91.564912280701762</v>
      </c>
      <c r="L189" s="8">
        <f t="shared" si="14"/>
        <v>1.3215859030837005E-2</v>
      </c>
    </row>
    <row r="190" spans="1:12" x14ac:dyDescent="0.35">
      <c r="A190" s="2" t="s">
        <v>33</v>
      </c>
      <c r="B190" s="2" t="s">
        <v>13</v>
      </c>
      <c r="C190" s="2" t="s">
        <v>11</v>
      </c>
      <c r="D190" s="2">
        <v>1000</v>
      </c>
      <c r="E190" s="2">
        <v>902</v>
      </c>
      <c r="F190" s="2">
        <v>27</v>
      </c>
      <c r="G190" s="2">
        <v>9</v>
      </c>
      <c r="H190" s="2">
        <f t="shared" si="12"/>
        <v>0.97006651884700668</v>
      </c>
      <c r="I190" s="2">
        <f t="shared" si="13"/>
        <v>0.98124999999999996</v>
      </c>
      <c r="J190" s="2">
        <f t="shared" si="15"/>
        <v>0.90200000000000002</v>
      </c>
      <c r="K190" s="2">
        <f t="shared" si="16"/>
        <v>85.859375</v>
      </c>
      <c r="L190" s="8">
        <f t="shared" si="14"/>
        <v>2.9933481152993349E-2</v>
      </c>
    </row>
    <row r="191" spans="1:12" x14ac:dyDescent="0.35">
      <c r="A191" s="2" t="s">
        <v>34</v>
      </c>
      <c r="B191" s="2" t="s">
        <v>8</v>
      </c>
      <c r="C191" s="2" t="s">
        <v>9</v>
      </c>
      <c r="D191" s="2">
        <v>1000</v>
      </c>
      <c r="E191" s="2">
        <v>904</v>
      </c>
      <c r="F191" s="2">
        <v>42</v>
      </c>
      <c r="G191" s="2">
        <v>15</v>
      </c>
      <c r="H191" s="2">
        <f t="shared" si="12"/>
        <v>0.95353982300884954</v>
      </c>
      <c r="I191" s="2">
        <f t="shared" si="13"/>
        <v>0.96875</v>
      </c>
      <c r="J191" s="2">
        <f t="shared" si="15"/>
        <v>0.90400000000000003</v>
      </c>
      <c r="K191" s="2">
        <f t="shared" si="16"/>
        <v>83.506250000000009</v>
      </c>
      <c r="L191" s="8">
        <f t="shared" si="14"/>
        <v>4.6460176991150445E-2</v>
      </c>
    </row>
    <row r="192" spans="1:12" x14ac:dyDescent="0.35">
      <c r="A192" s="2" t="s">
        <v>34</v>
      </c>
      <c r="B192" s="2" t="s">
        <v>8</v>
      </c>
      <c r="C192" s="2" t="s">
        <v>10</v>
      </c>
      <c r="D192" s="2">
        <v>1050</v>
      </c>
      <c r="E192" s="2">
        <v>945</v>
      </c>
      <c r="F192" s="2">
        <v>17</v>
      </c>
      <c r="G192" s="2">
        <v>34</v>
      </c>
      <c r="H192" s="2">
        <f t="shared" si="12"/>
        <v>0.982010582010582</v>
      </c>
      <c r="I192" s="2">
        <f t="shared" si="13"/>
        <v>0.9291666666666667</v>
      </c>
      <c r="J192" s="2">
        <f t="shared" si="15"/>
        <v>0.9</v>
      </c>
      <c r="K192" s="2">
        <f t="shared" si="16"/>
        <v>82.120634920634927</v>
      </c>
      <c r="L192" s="8">
        <f t="shared" si="14"/>
        <v>1.7989417989417989E-2</v>
      </c>
    </row>
    <row r="193" spans="1:12" x14ac:dyDescent="0.35">
      <c r="A193" s="2" t="s">
        <v>34</v>
      </c>
      <c r="B193" s="2" t="s">
        <v>8</v>
      </c>
      <c r="C193" s="2" t="s">
        <v>11</v>
      </c>
      <c r="D193" s="2">
        <v>1000</v>
      </c>
      <c r="E193" s="2">
        <v>970</v>
      </c>
      <c r="F193" s="2">
        <v>23</v>
      </c>
      <c r="G193" s="2">
        <v>23</v>
      </c>
      <c r="H193" s="2">
        <f t="shared" si="12"/>
        <v>0.97628865979381441</v>
      </c>
      <c r="I193" s="2">
        <f t="shared" si="13"/>
        <v>0.95208333333333328</v>
      </c>
      <c r="J193" s="2">
        <f t="shared" si="15"/>
        <v>0.97</v>
      </c>
      <c r="K193" s="2">
        <f t="shared" si="16"/>
        <v>90.162291666666661</v>
      </c>
      <c r="L193" s="8">
        <f t="shared" si="14"/>
        <v>2.3711340206185566E-2</v>
      </c>
    </row>
    <row r="194" spans="1:12" x14ac:dyDescent="0.35">
      <c r="A194" s="2" t="s">
        <v>34</v>
      </c>
      <c r="B194" s="2" t="s">
        <v>12</v>
      </c>
      <c r="C194" s="2" t="s">
        <v>9</v>
      </c>
      <c r="D194" s="2">
        <v>950</v>
      </c>
      <c r="E194" s="2">
        <v>936</v>
      </c>
      <c r="F194" s="2">
        <v>40</v>
      </c>
      <c r="G194" s="2">
        <v>29</v>
      </c>
      <c r="H194" s="2">
        <f t="shared" si="12"/>
        <v>0.95726495726495731</v>
      </c>
      <c r="I194" s="2">
        <f t="shared" si="13"/>
        <v>0.93958333333333333</v>
      </c>
      <c r="J194" s="2">
        <f t="shared" si="15"/>
        <v>0.98526315789473684</v>
      </c>
      <c r="K194" s="2">
        <f t="shared" si="16"/>
        <v>88.617543859649118</v>
      </c>
      <c r="L194" s="8">
        <f t="shared" si="14"/>
        <v>4.2735042735042736E-2</v>
      </c>
    </row>
    <row r="195" spans="1:12" x14ac:dyDescent="0.35">
      <c r="A195" s="2" t="s">
        <v>34</v>
      </c>
      <c r="B195" s="2" t="s">
        <v>12</v>
      </c>
      <c r="C195" s="2" t="s">
        <v>10</v>
      </c>
      <c r="D195" s="2">
        <v>950</v>
      </c>
      <c r="E195" s="2">
        <v>941</v>
      </c>
      <c r="F195" s="2">
        <v>12</v>
      </c>
      <c r="G195" s="2">
        <v>44</v>
      </c>
      <c r="H195" s="2">
        <f t="shared" ref="H195:H258" si="17">(E195-F195)/E195</f>
        <v>0.98724760892667374</v>
      </c>
      <c r="I195" s="2">
        <f t="shared" ref="I195:I258" si="18">(480-G195)/480</f>
        <v>0.90833333333333333</v>
      </c>
      <c r="J195" s="2">
        <f t="shared" si="15"/>
        <v>0.9905263157894737</v>
      </c>
      <c r="K195" s="2">
        <f t="shared" si="16"/>
        <v>88.825438596491239</v>
      </c>
      <c r="L195" s="8">
        <f t="shared" ref="L195:L258" si="19">(F195/E195)</f>
        <v>1.2752391073326248E-2</v>
      </c>
    </row>
    <row r="196" spans="1:12" x14ac:dyDescent="0.35">
      <c r="A196" s="2" t="s">
        <v>34</v>
      </c>
      <c r="B196" s="2" t="s">
        <v>12</v>
      </c>
      <c r="C196" s="2" t="s">
        <v>11</v>
      </c>
      <c r="D196" s="2">
        <v>1100</v>
      </c>
      <c r="E196" s="2">
        <v>1020</v>
      </c>
      <c r="F196" s="2">
        <v>23</v>
      </c>
      <c r="G196" s="2">
        <v>10</v>
      </c>
      <c r="H196" s="2">
        <f t="shared" si="17"/>
        <v>0.97745098039215683</v>
      </c>
      <c r="I196" s="2">
        <f t="shared" si="18"/>
        <v>0.97916666666666663</v>
      </c>
      <c r="J196" s="2">
        <f t="shared" si="15"/>
        <v>0.92727272727272725</v>
      </c>
      <c r="K196" s="2">
        <f t="shared" si="16"/>
        <v>88.748106060606062</v>
      </c>
      <c r="L196" s="8">
        <f t="shared" si="19"/>
        <v>2.2549019607843137E-2</v>
      </c>
    </row>
    <row r="197" spans="1:12" x14ac:dyDescent="0.35">
      <c r="A197" s="2" t="s">
        <v>34</v>
      </c>
      <c r="B197" s="2" t="s">
        <v>13</v>
      </c>
      <c r="C197" s="2" t="s">
        <v>9</v>
      </c>
      <c r="D197" s="2">
        <v>1000</v>
      </c>
      <c r="E197" s="2">
        <v>887</v>
      </c>
      <c r="F197" s="2">
        <v>41</v>
      </c>
      <c r="G197" s="2">
        <v>56</v>
      </c>
      <c r="H197" s="2">
        <f t="shared" si="17"/>
        <v>0.95377677564825258</v>
      </c>
      <c r="I197" s="2">
        <f t="shared" si="18"/>
        <v>0.8833333333333333</v>
      </c>
      <c r="J197" s="2">
        <f t="shared" si="15"/>
        <v>0.88700000000000001</v>
      </c>
      <c r="K197" s="2">
        <f t="shared" si="16"/>
        <v>74.73</v>
      </c>
      <c r="L197" s="8">
        <f t="shared" si="19"/>
        <v>4.6223224351747465E-2</v>
      </c>
    </row>
    <row r="198" spans="1:12" x14ac:dyDescent="0.35">
      <c r="A198" s="2" t="s">
        <v>34</v>
      </c>
      <c r="B198" s="2" t="s">
        <v>13</v>
      </c>
      <c r="C198" s="2" t="s">
        <v>10</v>
      </c>
      <c r="D198" s="2">
        <v>1100</v>
      </c>
      <c r="E198" s="2">
        <v>1088</v>
      </c>
      <c r="F198" s="2">
        <v>13</v>
      </c>
      <c r="G198" s="2">
        <v>18</v>
      </c>
      <c r="H198" s="2">
        <f t="shared" si="17"/>
        <v>0.98805147058823528</v>
      </c>
      <c r="I198" s="2">
        <f t="shared" si="18"/>
        <v>0.96250000000000002</v>
      </c>
      <c r="J198" s="2">
        <f t="shared" si="15"/>
        <v>0.98909090909090913</v>
      </c>
      <c r="K198" s="2">
        <f t="shared" si="16"/>
        <v>94.0625</v>
      </c>
      <c r="L198" s="8">
        <f t="shared" si="19"/>
        <v>1.1948529411764705E-2</v>
      </c>
    </row>
    <row r="199" spans="1:12" x14ac:dyDescent="0.35">
      <c r="A199" s="2" t="s">
        <v>34</v>
      </c>
      <c r="B199" s="2" t="s">
        <v>13</v>
      </c>
      <c r="C199" s="2" t="s">
        <v>11</v>
      </c>
      <c r="D199" s="2">
        <v>900</v>
      </c>
      <c r="E199" s="2">
        <v>872</v>
      </c>
      <c r="F199" s="2">
        <v>8</v>
      </c>
      <c r="G199" s="2">
        <v>19</v>
      </c>
      <c r="H199" s="2">
        <f t="shared" si="17"/>
        <v>0.99082568807339455</v>
      </c>
      <c r="I199" s="2">
        <f t="shared" si="18"/>
        <v>0.9604166666666667</v>
      </c>
      <c r="J199" s="2">
        <f t="shared" si="15"/>
        <v>0.96888888888888891</v>
      </c>
      <c r="K199" s="2">
        <f t="shared" si="16"/>
        <v>92.200000000000017</v>
      </c>
      <c r="L199" s="8">
        <f t="shared" si="19"/>
        <v>9.1743119266055051E-3</v>
      </c>
    </row>
    <row r="200" spans="1:12" x14ac:dyDescent="0.35">
      <c r="A200" s="2" t="s">
        <v>35</v>
      </c>
      <c r="B200" s="2" t="s">
        <v>8</v>
      </c>
      <c r="C200" s="2" t="s">
        <v>9</v>
      </c>
      <c r="D200" s="2">
        <v>900</v>
      </c>
      <c r="E200" s="2">
        <v>894</v>
      </c>
      <c r="F200" s="2">
        <v>6</v>
      </c>
      <c r="G200" s="2">
        <v>59</v>
      </c>
      <c r="H200" s="2">
        <f t="shared" si="17"/>
        <v>0.99328859060402686</v>
      </c>
      <c r="I200" s="2">
        <f t="shared" si="18"/>
        <v>0.87708333333333333</v>
      </c>
      <c r="J200" s="2">
        <f t="shared" si="15"/>
        <v>0.99333333333333329</v>
      </c>
      <c r="K200" s="2">
        <f t="shared" si="16"/>
        <v>86.538888888888891</v>
      </c>
      <c r="L200" s="8">
        <f t="shared" si="19"/>
        <v>6.7114093959731542E-3</v>
      </c>
    </row>
    <row r="201" spans="1:12" x14ac:dyDescent="0.35">
      <c r="A201" s="2" t="s">
        <v>35</v>
      </c>
      <c r="B201" s="2" t="s">
        <v>8</v>
      </c>
      <c r="C201" s="2" t="s">
        <v>10</v>
      </c>
      <c r="D201" s="2">
        <v>1050</v>
      </c>
      <c r="E201" s="2">
        <v>995</v>
      </c>
      <c r="F201" s="2">
        <v>20</v>
      </c>
      <c r="G201" s="2">
        <v>53</v>
      </c>
      <c r="H201" s="2">
        <f t="shared" si="17"/>
        <v>0.97989949748743721</v>
      </c>
      <c r="I201" s="2">
        <f t="shared" si="18"/>
        <v>0.88958333333333328</v>
      </c>
      <c r="J201" s="2">
        <f t="shared" si="15"/>
        <v>0.94761904761904758</v>
      </c>
      <c r="K201" s="2">
        <f t="shared" si="16"/>
        <v>82.604166666666657</v>
      </c>
      <c r="L201" s="8">
        <f t="shared" si="19"/>
        <v>2.0100502512562814E-2</v>
      </c>
    </row>
    <row r="202" spans="1:12" x14ac:dyDescent="0.35">
      <c r="A202" s="2" t="s">
        <v>35</v>
      </c>
      <c r="B202" s="2" t="s">
        <v>8</v>
      </c>
      <c r="C202" s="2" t="s">
        <v>11</v>
      </c>
      <c r="D202" s="2">
        <v>1100</v>
      </c>
      <c r="E202" s="2">
        <v>1067</v>
      </c>
      <c r="F202" s="2">
        <v>12</v>
      </c>
      <c r="G202" s="2">
        <v>15</v>
      </c>
      <c r="H202" s="2">
        <f t="shared" si="17"/>
        <v>0.98875351452671045</v>
      </c>
      <c r="I202" s="2">
        <f t="shared" si="18"/>
        <v>0.96875</v>
      </c>
      <c r="J202" s="2">
        <f t="shared" si="15"/>
        <v>0.97</v>
      </c>
      <c r="K202" s="2">
        <f t="shared" si="16"/>
        <v>92.911931818181827</v>
      </c>
      <c r="L202" s="8">
        <f t="shared" si="19"/>
        <v>1.1246485473289597E-2</v>
      </c>
    </row>
    <row r="203" spans="1:12" x14ac:dyDescent="0.35">
      <c r="A203" s="2" t="s">
        <v>35</v>
      </c>
      <c r="B203" s="2" t="s">
        <v>12</v>
      </c>
      <c r="C203" s="2" t="s">
        <v>9</v>
      </c>
      <c r="D203" s="2">
        <v>1100</v>
      </c>
      <c r="E203" s="2">
        <v>998</v>
      </c>
      <c r="F203" s="2">
        <v>7</v>
      </c>
      <c r="G203" s="2">
        <v>14</v>
      </c>
      <c r="H203" s="2">
        <f t="shared" si="17"/>
        <v>0.99298597194388782</v>
      </c>
      <c r="I203" s="2">
        <f t="shared" si="18"/>
        <v>0.97083333333333333</v>
      </c>
      <c r="J203" s="2">
        <f t="shared" si="15"/>
        <v>0.90727272727272723</v>
      </c>
      <c r="K203" s="2">
        <f t="shared" si="16"/>
        <v>87.463257575757567</v>
      </c>
      <c r="L203" s="8">
        <f t="shared" si="19"/>
        <v>7.0140280561122245E-3</v>
      </c>
    </row>
    <row r="204" spans="1:12" x14ac:dyDescent="0.35">
      <c r="A204" s="2" t="s">
        <v>35</v>
      </c>
      <c r="B204" s="2" t="s">
        <v>12</v>
      </c>
      <c r="C204" s="2" t="s">
        <v>10</v>
      </c>
      <c r="D204" s="2">
        <v>1000</v>
      </c>
      <c r="E204" s="2">
        <v>890</v>
      </c>
      <c r="F204" s="2">
        <v>44</v>
      </c>
      <c r="G204" s="2">
        <v>22</v>
      </c>
      <c r="H204" s="2">
        <f t="shared" si="17"/>
        <v>0.95056179775280902</v>
      </c>
      <c r="I204" s="2">
        <f t="shared" si="18"/>
        <v>0.95416666666666672</v>
      </c>
      <c r="J204" s="2">
        <f t="shared" si="15"/>
        <v>0.89</v>
      </c>
      <c r="K204" s="2">
        <f t="shared" si="16"/>
        <v>80.722500000000011</v>
      </c>
      <c r="L204" s="8">
        <f t="shared" si="19"/>
        <v>4.9438202247191011E-2</v>
      </c>
    </row>
    <row r="205" spans="1:12" x14ac:dyDescent="0.35">
      <c r="A205" s="2" t="s">
        <v>35</v>
      </c>
      <c r="B205" s="2" t="s">
        <v>12</v>
      </c>
      <c r="C205" s="2" t="s">
        <v>11</v>
      </c>
      <c r="D205" s="2">
        <v>1000</v>
      </c>
      <c r="E205" s="2">
        <v>973</v>
      </c>
      <c r="F205" s="2">
        <v>42</v>
      </c>
      <c r="G205" s="2">
        <v>5</v>
      </c>
      <c r="H205" s="2">
        <f t="shared" si="17"/>
        <v>0.95683453237410077</v>
      </c>
      <c r="I205" s="2">
        <f t="shared" si="18"/>
        <v>0.98958333333333337</v>
      </c>
      <c r="J205" s="2">
        <f t="shared" si="15"/>
        <v>0.97299999999999998</v>
      </c>
      <c r="K205" s="2">
        <f t="shared" si="16"/>
        <v>92.130208333333343</v>
      </c>
      <c r="L205" s="8">
        <f t="shared" si="19"/>
        <v>4.3165467625899283E-2</v>
      </c>
    </row>
    <row r="206" spans="1:12" x14ac:dyDescent="0.35">
      <c r="A206" s="2" t="s">
        <v>35</v>
      </c>
      <c r="B206" s="2" t="s">
        <v>13</v>
      </c>
      <c r="C206" s="2" t="s">
        <v>9</v>
      </c>
      <c r="D206" s="2">
        <v>950</v>
      </c>
      <c r="E206" s="2">
        <v>839</v>
      </c>
      <c r="F206" s="2">
        <v>40</v>
      </c>
      <c r="G206" s="2">
        <v>33</v>
      </c>
      <c r="H206" s="2">
        <f t="shared" si="17"/>
        <v>0.95232419547079861</v>
      </c>
      <c r="I206" s="2">
        <f t="shared" si="18"/>
        <v>0.93125000000000002</v>
      </c>
      <c r="J206" s="2">
        <f t="shared" si="15"/>
        <v>0.88315789473684214</v>
      </c>
      <c r="K206" s="2">
        <f t="shared" si="16"/>
        <v>78.323026315789477</v>
      </c>
      <c r="L206" s="8">
        <f t="shared" si="19"/>
        <v>4.7675804529201428E-2</v>
      </c>
    </row>
    <row r="207" spans="1:12" x14ac:dyDescent="0.35">
      <c r="A207" s="2" t="s">
        <v>35</v>
      </c>
      <c r="B207" s="2" t="s">
        <v>13</v>
      </c>
      <c r="C207" s="2" t="s">
        <v>10</v>
      </c>
      <c r="D207" s="2">
        <v>1050</v>
      </c>
      <c r="E207" s="2">
        <v>1031</v>
      </c>
      <c r="F207" s="2">
        <v>18</v>
      </c>
      <c r="G207" s="2">
        <v>58</v>
      </c>
      <c r="H207" s="2">
        <f t="shared" si="17"/>
        <v>0.98254122211445194</v>
      </c>
      <c r="I207" s="2">
        <f t="shared" si="18"/>
        <v>0.87916666666666665</v>
      </c>
      <c r="J207" s="2">
        <f t="shared" si="15"/>
        <v>0.98190476190476195</v>
      </c>
      <c r="K207" s="2">
        <f t="shared" si="16"/>
        <v>84.818650793650789</v>
      </c>
      <c r="L207" s="8">
        <f t="shared" si="19"/>
        <v>1.7458777885548012E-2</v>
      </c>
    </row>
    <row r="208" spans="1:12" x14ac:dyDescent="0.35">
      <c r="A208" s="2" t="s">
        <v>35</v>
      </c>
      <c r="B208" s="2" t="s">
        <v>13</v>
      </c>
      <c r="C208" s="2" t="s">
        <v>11</v>
      </c>
      <c r="D208" s="2">
        <v>950</v>
      </c>
      <c r="E208" s="2">
        <v>945</v>
      </c>
      <c r="F208" s="2">
        <v>5</v>
      </c>
      <c r="G208" s="2">
        <v>32</v>
      </c>
      <c r="H208" s="2">
        <f t="shared" si="17"/>
        <v>0.99470899470899465</v>
      </c>
      <c r="I208" s="2">
        <f t="shared" si="18"/>
        <v>0.93333333333333335</v>
      </c>
      <c r="J208" s="2">
        <f t="shared" si="15"/>
        <v>0.99473684210526314</v>
      </c>
      <c r="K208" s="2">
        <f t="shared" si="16"/>
        <v>92.350877192982452</v>
      </c>
      <c r="L208" s="8">
        <f t="shared" si="19"/>
        <v>5.2910052910052907E-3</v>
      </c>
    </row>
    <row r="209" spans="1:12" x14ac:dyDescent="0.35">
      <c r="A209" s="2" t="s">
        <v>36</v>
      </c>
      <c r="B209" s="2" t="s">
        <v>8</v>
      </c>
      <c r="C209" s="2" t="s">
        <v>9</v>
      </c>
      <c r="D209" s="2">
        <v>1050</v>
      </c>
      <c r="E209" s="2">
        <v>1015</v>
      </c>
      <c r="F209" s="2">
        <v>18</v>
      </c>
      <c r="G209" s="2">
        <v>35</v>
      </c>
      <c r="H209" s="2">
        <f t="shared" si="17"/>
        <v>0.98226600985221679</v>
      </c>
      <c r="I209" s="2">
        <f t="shared" si="18"/>
        <v>0.92708333333333337</v>
      </c>
      <c r="J209" s="2">
        <f t="shared" si="15"/>
        <v>0.96666666666666667</v>
      </c>
      <c r="K209" s="2">
        <f t="shared" si="16"/>
        <v>88.028769841269849</v>
      </c>
      <c r="L209" s="8">
        <f t="shared" si="19"/>
        <v>1.7733990147783252E-2</v>
      </c>
    </row>
    <row r="210" spans="1:12" x14ac:dyDescent="0.35">
      <c r="A210" s="2" t="s">
        <v>36</v>
      </c>
      <c r="B210" s="2" t="s">
        <v>8</v>
      </c>
      <c r="C210" s="2" t="s">
        <v>10</v>
      </c>
      <c r="D210" s="2">
        <v>1100</v>
      </c>
      <c r="E210" s="2">
        <v>1078</v>
      </c>
      <c r="F210" s="2">
        <v>34</v>
      </c>
      <c r="G210" s="2">
        <v>24</v>
      </c>
      <c r="H210" s="2">
        <f t="shared" si="17"/>
        <v>0.96846011131725418</v>
      </c>
      <c r="I210" s="2">
        <f t="shared" si="18"/>
        <v>0.95</v>
      </c>
      <c r="J210" s="2">
        <f t="shared" si="15"/>
        <v>0.98</v>
      </c>
      <c r="K210" s="2">
        <f t="shared" si="16"/>
        <v>90.163636363636357</v>
      </c>
      <c r="L210" s="8">
        <f t="shared" si="19"/>
        <v>3.1539888682745827E-2</v>
      </c>
    </row>
    <row r="211" spans="1:12" x14ac:dyDescent="0.35">
      <c r="A211" s="2" t="s">
        <v>36</v>
      </c>
      <c r="B211" s="2" t="s">
        <v>8</v>
      </c>
      <c r="C211" s="2" t="s">
        <v>11</v>
      </c>
      <c r="D211" s="2">
        <v>1050</v>
      </c>
      <c r="E211" s="2">
        <v>1013</v>
      </c>
      <c r="F211" s="2">
        <v>31</v>
      </c>
      <c r="G211" s="2">
        <v>39</v>
      </c>
      <c r="H211" s="2">
        <f t="shared" si="17"/>
        <v>0.96939782823297138</v>
      </c>
      <c r="I211" s="2">
        <f t="shared" si="18"/>
        <v>0.91874999999999996</v>
      </c>
      <c r="J211" s="2">
        <f t="shared" si="15"/>
        <v>0.96476190476190471</v>
      </c>
      <c r="K211" s="2">
        <f t="shared" si="16"/>
        <v>85.924999999999997</v>
      </c>
      <c r="L211" s="8">
        <f t="shared" si="19"/>
        <v>3.0602171767028629E-2</v>
      </c>
    </row>
    <row r="212" spans="1:12" x14ac:dyDescent="0.35">
      <c r="A212" s="2" t="s">
        <v>36</v>
      </c>
      <c r="B212" s="2" t="s">
        <v>12</v>
      </c>
      <c r="C212" s="2" t="s">
        <v>9</v>
      </c>
      <c r="D212" s="2">
        <v>1100</v>
      </c>
      <c r="E212" s="2">
        <v>1056</v>
      </c>
      <c r="F212" s="2">
        <v>10</v>
      </c>
      <c r="G212" s="2">
        <v>56</v>
      </c>
      <c r="H212" s="2">
        <f t="shared" si="17"/>
        <v>0.99053030303030298</v>
      </c>
      <c r="I212" s="2">
        <f t="shared" si="18"/>
        <v>0.8833333333333333</v>
      </c>
      <c r="J212" s="2">
        <f t="shared" si="15"/>
        <v>0.96</v>
      </c>
      <c r="K212" s="2">
        <f t="shared" si="16"/>
        <v>83.996969696969686</v>
      </c>
      <c r="L212" s="8">
        <f t="shared" si="19"/>
        <v>9.46969696969697E-3</v>
      </c>
    </row>
    <row r="213" spans="1:12" x14ac:dyDescent="0.35">
      <c r="A213" s="2" t="s">
        <v>36</v>
      </c>
      <c r="B213" s="2" t="s">
        <v>12</v>
      </c>
      <c r="C213" s="2" t="s">
        <v>10</v>
      </c>
      <c r="D213" s="2">
        <v>950</v>
      </c>
      <c r="E213" s="2">
        <v>845</v>
      </c>
      <c r="F213" s="2">
        <v>39</v>
      </c>
      <c r="G213" s="2">
        <v>33</v>
      </c>
      <c r="H213" s="2">
        <f t="shared" si="17"/>
        <v>0.9538461538461539</v>
      </c>
      <c r="I213" s="2">
        <f t="shared" si="18"/>
        <v>0.93125000000000002</v>
      </c>
      <c r="J213" s="2">
        <f t="shared" si="15"/>
        <v>0.88947368421052631</v>
      </c>
      <c r="K213" s="2">
        <f t="shared" si="16"/>
        <v>79.009210526315783</v>
      </c>
      <c r="L213" s="8">
        <f t="shared" si="19"/>
        <v>4.6153846153846156E-2</v>
      </c>
    </row>
    <row r="214" spans="1:12" x14ac:dyDescent="0.35">
      <c r="A214" s="2" t="s">
        <v>36</v>
      </c>
      <c r="B214" s="2" t="s">
        <v>12</v>
      </c>
      <c r="C214" s="2" t="s">
        <v>11</v>
      </c>
      <c r="D214" s="2">
        <v>1050</v>
      </c>
      <c r="E214" s="2">
        <v>1002</v>
      </c>
      <c r="F214" s="2">
        <v>16</v>
      </c>
      <c r="G214" s="2">
        <v>44</v>
      </c>
      <c r="H214" s="2">
        <f t="shared" si="17"/>
        <v>0.98403193612774453</v>
      </c>
      <c r="I214" s="2">
        <f t="shared" si="18"/>
        <v>0.90833333333333333</v>
      </c>
      <c r="J214" s="2">
        <f t="shared" si="15"/>
        <v>0.95428571428571429</v>
      </c>
      <c r="K214" s="2">
        <f t="shared" si="16"/>
        <v>85.296825396825398</v>
      </c>
      <c r="L214" s="8">
        <f t="shared" si="19"/>
        <v>1.5968063872255488E-2</v>
      </c>
    </row>
    <row r="215" spans="1:12" x14ac:dyDescent="0.35">
      <c r="A215" s="2" t="s">
        <v>36</v>
      </c>
      <c r="B215" s="2" t="s">
        <v>13</v>
      </c>
      <c r="C215" s="2" t="s">
        <v>9</v>
      </c>
      <c r="D215" s="2">
        <v>900</v>
      </c>
      <c r="E215" s="2">
        <v>782</v>
      </c>
      <c r="F215" s="2">
        <v>29</v>
      </c>
      <c r="G215" s="2">
        <v>17</v>
      </c>
      <c r="H215" s="2">
        <f t="shared" si="17"/>
        <v>0.96291560102301788</v>
      </c>
      <c r="I215" s="2">
        <f t="shared" si="18"/>
        <v>0.96458333333333335</v>
      </c>
      <c r="J215" s="2">
        <f t="shared" si="15"/>
        <v>0.86888888888888893</v>
      </c>
      <c r="K215" s="2">
        <f t="shared" si="16"/>
        <v>80.703472222222231</v>
      </c>
      <c r="L215" s="8">
        <f t="shared" si="19"/>
        <v>3.7084398976982097E-2</v>
      </c>
    </row>
    <row r="216" spans="1:12" x14ac:dyDescent="0.35">
      <c r="A216" s="2" t="s">
        <v>36</v>
      </c>
      <c r="B216" s="2" t="s">
        <v>13</v>
      </c>
      <c r="C216" s="2" t="s">
        <v>10</v>
      </c>
      <c r="D216" s="2">
        <v>950</v>
      </c>
      <c r="E216" s="2">
        <v>846</v>
      </c>
      <c r="F216" s="2">
        <v>11</v>
      </c>
      <c r="G216" s="2">
        <v>58</v>
      </c>
      <c r="H216" s="2">
        <f t="shared" si="17"/>
        <v>0.98699763593380618</v>
      </c>
      <c r="I216" s="2">
        <f t="shared" si="18"/>
        <v>0.87916666666666665</v>
      </c>
      <c r="J216" s="2">
        <f t="shared" si="15"/>
        <v>0.89052631578947372</v>
      </c>
      <c r="K216" s="2">
        <f t="shared" si="16"/>
        <v>77.274122807017548</v>
      </c>
      <c r="L216" s="8">
        <f t="shared" si="19"/>
        <v>1.3002364066193853E-2</v>
      </c>
    </row>
    <row r="217" spans="1:12" x14ac:dyDescent="0.35">
      <c r="A217" s="2" t="s">
        <v>36</v>
      </c>
      <c r="B217" s="2" t="s">
        <v>13</v>
      </c>
      <c r="C217" s="2" t="s">
        <v>11</v>
      </c>
      <c r="D217" s="2">
        <v>1100</v>
      </c>
      <c r="E217" s="2">
        <v>1079</v>
      </c>
      <c r="F217" s="2">
        <v>35</v>
      </c>
      <c r="G217" s="2">
        <v>14</v>
      </c>
      <c r="H217" s="2">
        <f t="shared" si="17"/>
        <v>0.9675625579240037</v>
      </c>
      <c r="I217" s="2">
        <f t="shared" si="18"/>
        <v>0.97083333333333333</v>
      </c>
      <c r="J217" s="2">
        <f t="shared" si="15"/>
        <v>0.98090909090909095</v>
      </c>
      <c r="K217" s="2">
        <f t="shared" si="16"/>
        <v>92.140909090909091</v>
      </c>
      <c r="L217" s="8">
        <f t="shared" si="19"/>
        <v>3.2437442075996289E-2</v>
      </c>
    </row>
    <row r="218" spans="1:12" x14ac:dyDescent="0.35">
      <c r="A218" s="2" t="s">
        <v>37</v>
      </c>
      <c r="B218" s="2" t="s">
        <v>8</v>
      </c>
      <c r="C218" s="2" t="s">
        <v>9</v>
      </c>
      <c r="D218" s="2">
        <v>900</v>
      </c>
      <c r="E218" s="2">
        <v>801</v>
      </c>
      <c r="F218" s="2">
        <v>7</v>
      </c>
      <c r="G218" s="2">
        <v>48</v>
      </c>
      <c r="H218" s="2">
        <f t="shared" si="17"/>
        <v>0.99126092384519349</v>
      </c>
      <c r="I218" s="2">
        <f t="shared" si="18"/>
        <v>0.9</v>
      </c>
      <c r="J218" s="2">
        <f t="shared" si="15"/>
        <v>0.89</v>
      </c>
      <c r="K218" s="2">
        <f t="shared" si="16"/>
        <v>79.400000000000006</v>
      </c>
      <c r="L218" s="8">
        <f t="shared" si="19"/>
        <v>8.7390761548064924E-3</v>
      </c>
    </row>
    <row r="219" spans="1:12" x14ac:dyDescent="0.35">
      <c r="A219" s="2" t="s">
        <v>37</v>
      </c>
      <c r="B219" s="2" t="s">
        <v>8</v>
      </c>
      <c r="C219" s="2" t="s">
        <v>10</v>
      </c>
      <c r="D219" s="2">
        <v>1000</v>
      </c>
      <c r="E219" s="2">
        <v>951</v>
      </c>
      <c r="F219" s="2">
        <v>38</v>
      </c>
      <c r="G219" s="2">
        <v>60</v>
      </c>
      <c r="H219" s="2">
        <f t="shared" si="17"/>
        <v>0.96004206098843325</v>
      </c>
      <c r="I219" s="2">
        <f t="shared" si="18"/>
        <v>0.875</v>
      </c>
      <c r="J219" s="2">
        <f t="shared" si="15"/>
        <v>0.95099999999999996</v>
      </c>
      <c r="K219" s="2">
        <f t="shared" si="16"/>
        <v>79.887500000000003</v>
      </c>
      <c r="L219" s="8">
        <f t="shared" si="19"/>
        <v>3.9957939011566773E-2</v>
      </c>
    </row>
    <row r="220" spans="1:12" x14ac:dyDescent="0.35">
      <c r="A220" s="2" t="s">
        <v>37</v>
      </c>
      <c r="B220" s="2" t="s">
        <v>8</v>
      </c>
      <c r="C220" s="2" t="s">
        <v>11</v>
      </c>
      <c r="D220" s="2">
        <v>1050</v>
      </c>
      <c r="E220" s="2">
        <v>990</v>
      </c>
      <c r="F220" s="2">
        <v>27</v>
      </c>
      <c r="G220" s="2">
        <v>51</v>
      </c>
      <c r="H220" s="2">
        <f t="shared" si="17"/>
        <v>0.97272727272727277</v>
      </c>
      <c r="I220" s="2">
        <f t="shared" si="18"/>
        <v>0.89375000000000004</v>
      </c>
      <c r="J220" s="2">
        <f t="shared" ref="J220:J271" si="20">(E220/D220)</f>
        <v>0.94285714285714284</v>
      </c>
      <c r="K220" s="2">
        <f t="shared" ref="K220:K271" si="21">(H220*I220*J220) *100</f>
        <v>81.969642857142873</v>
      </c>
      <c r="L220" s="8">
        <f t="shared" si="19"/>
        <v>2.7272727272727271E-2</v>
      </c>
    </row>
    <row r="221" spans="1:12" x14ac:dyDescent="0.35">
      <c r="A221" s="2" t="s">
        <v>37</v>
      </c>
      <c r="B221" s="2" t="s">
        <v>12</v>
      </c>
      <c r="C221" s="2" t="s">
        <v>9</v>
      </c>
      <c r="D221" s="2">
        <v>950</v>
      </c>
      <c r="E221" s="2">
        <v>830</v>
      </c>
      <c r="F221" s="2">
        <v>32</v>
      </c>
      <c r="G221" s="2">
        <v>47</v>
      </c>
      <c r="H221" s="2">
        <f t="shared" si="17"/>
        <v>0.96144578313253015</v>
      </c>
      <c r="I221" s="2">
        <f t="shared" si="18"/>
        <v>0.90208333333333335</v>
      </c>
      <c r="J221" s="2">
        <f t="shared" si="20"/>
        <v>0.87368421052631584</v>
      </c>
      <c r="K221" s="2">
        <f t="shared" si="21"/>
        <v>75.77500000000002</v>
      </c>
      <c r="L221" s="8">
        <f t="shared" si="19"/>
        <v>3.8554216867469883E-2</v>
      </c>
    </row>
    <row r="222" spans="1:12" x14ac:dyDescent="0.35">
      <c r="A222" s="2" t="s">
        <v>37</v>
      </c>
      <c r="B222" s="2" t="s">
        <v>12</v>
      </c>
      <c r="C222" s="2" t="s">
        <v>10</v>
      </c>
      <c r="D222" s="2">
        <v>1050</v>
      </c>
      <c r="E222" s="2">
        <v>999</v>
      </c>
      <c r="F222" s="2">
        <v>5</v>
      </c>
      <c r="G222" s="2">
        <v>27</v>
      </c>
      <c r="H222" s="2">
        <f t="shared" si="17"/>
        <v>0.994994994994995</v>
      </c>
      <c r="I222" s="2">
        <f t="shared" si="18"/>
        <v>0.94374999999999998</v>
      </c>
      <c r="J222" s="2">
        <f t="shared" si="20"/>
        <v>0.9514285714285714</v>
      </c>
      <c r="K222" s="2">
        <f t="shared" si="21"/>
        <v>89.341666666666669</v>
      </c>
      <c r="L222" s="8">
        <f t="shared" si="19"/>
        <v>5.005005005005005E-3</v>
      </c>
    </row>
    <row r="223" spans="1:12" x14ac:dyDescent="0.35">
      <c r="A223" s="2" t="s">
        <v>37</v>
      </c>
      <c r="B223" s="2" t="s">
        <v>12</v>
      </c>
      <c r="C223" s="2" t="s">
        <v>11</v>
      </c>
      <c r="D223" s="2">
        <v>1100</v>
      </c>
      <c r="E223" s="2">
        <v>1083</v>
      </c>
      <c r="F223" s="2">
        <v>14</v>
      </c>
      <c r="G223" s="2">
        <v>52</v>
      </c>
      <c r="H223" s="2">
        <f t="shared" si="17"/>
        <v>0.987072945521699</v>
      </c>
      <c r="I223" s="2">
        <f t="shared" si="18"/>
        <v>0.89166666666666672</v>
      </c>
      <c r="J223" s="2">
        <f t="shared" si="20"/>
        <v>0.9845454545454545</v>
      </c>
      <c r="K223" s="2">
        <f t="shared" si="21"/>
        <v>86.653787878787881</v>
      </c>
      <c r="L223" s="8">
        <f t="shared" si="19"/>
        <v>1.2927054478301015E-2</v>
      </c>
    </row>
    <row r="224" spans="1:12" x14ac:dyDescent="0.35">
      <c r="A224" s="2" t="s">
        <v>37</v>
      </c>
      <c r="B224" s="2" t="s">
        <v>13</v>
      </c>
      <c r="C224" s="2" t="s">
        <v>9</v>
      </c>
      <c r="D224" s="2">
        <v>1100</v>
      </c>
      <c r="E224" s="2">
        <v>1011</v>
      </c>
      <c r="F224" s="2">
        <v>47</v>
      </c>
      <c r="G224" s="2">
        <v>30</v>
      </c>
      <c r="H224" s="2">
        <f t="shared" si="17"/>
        <v>0.95351137487636006</v>
      </c>
      <c r="I224" s="2">
        <f t="shared" si="18"/>
        <v>0.9375</v>
      </c>
      <c r="J224" s="2">
        <f t="shared" si="20"/>
        <v>0.91909090909090907</v>
      </c>
      <c r="K224" s="2">
        <f t="shared" si="21"/>
        <v>82.159090909090921</v>
      </c>
      <c r="L224" s="8">
        <f t="shared" si="19"/>
        <v>4.6488625123639958E-2</v>
      </c>
    </row>
    <row r="225" spans="1:12" x14ac:dyDescent="0.35">
      <c r="A225" s="2" t="s">
        <v>37</v>
      </c>
      <c r="B225" s="2" t="s">
        <v>13</v>
      </c>
      <c r="C225" s="2" t="s">
        <v>10</v>
      </c>
      <c r="D225" s="2">
        <v>1000</v>
      </c>
      <c r="E225" s="2">
        <v>918</v>
      </c>
      <c r="F225" s="2">
        <v>18</v>
      </c>
      <c r="G225" s="2">
        <v>51</v>
      </c>
      <c r="H225" s="2">
        <f t="shared" si="17"/>
        <v>0.98039215686274506</v>
      </c>
      <c r="I225" s="2">
        <f t="shared" si="18"/>
        <v>0.89375000000000004</v>
      </c>
      <c r="J225" s="2">
        <f t="shared" si="20"/>
        <v>0.91800000000000004</v>
      </c>
      <c r="K225" s="2">
        <f t="shared" si="21"/>
        <v>80.4375</v>
      </c>
      <c r="L225" s="8">
        <f t="shared" si="19"/>
        <v>1.9607843137254902E-2</v>
      </c>
    </row>
    <row r="226" spans="1:12" x14ac:dyDescent="0.35">
      <c r="A226" s="2" t="s">
        <v>37</v>
      </c>
      <c r="B226" s="2" t="s">
        <v>13</v>
      </c>
      <c r="C226" s="2" t="s">
        <v>11</v>
      </c>
      <c r="D226" s="2">
        <v>1000</v>
      </c>
      <c r="E226" s="2">
        <v>959</v>
      </c>
      <c r="F226" s="2">
        <v>6</v>
      </c>
      <c r="G226" s="2">
        <v>39</v>
      </c>
      <c r="H226" s="2">
        <f t="shared" si="17"/>
        <v>0.99374348279457769</v>
      </c>
      <c r="I226" s="2">
        <f t="shared" si="18"/>
        <v>0.91874999999999996</v>
      </c>
      <c r="J226" s="2">
        <f t="shared" si="20"/>
        <v>0.95899999999999996</v>
      </c>
      <c r="K226" s="2">
        <f t="shared" si="21"/>
        <v>87.556875000000005</v>
      </c>
      <c r="L226" s="8">
        <f t="shared" si="19"/>
        <v>6.2565172054223151E-3</v>
      </c>
    </row>
    <row r="227" spans="1:12" x14ac:dyDescent="0.35">
      <c r="A227" s="2" t="s">
        <v>38</v>
      </c>
      <c r="B227" s="2" t="s">
        <v>8</v>
      </c>
      <c r="C227" s="2" t="s">
        <v>9</v>
      </c>
      <c r="D227" s="2">
        <v>1000</v>
      </c>
      <c r="E227" s="2">
        <v>950</v>
      </c>
      <c r="F227" s="2">
        <v>41</v>
      </c>
      <c r="G227" s="2">
        <v>36</v>
      </c>
      <c r="H227" s="2">
        <f t="shared" si="17"/>
        <v>0.95684210526315794</v>
      </c>
      <c r="I227" s="2">
        <f t="shared" si="18"/>
        <v>0.92500000000000004</v>
      </c>
      <c r="J227" s="2">
        <f t="shared" si="20"/>
        <v>0.95</v>
      </c>
      <c r="K227" s="2">
        <f t="shared" si="21"/>
        <v>84.08250000000001</v>
      </c>
      <c r="L227" s="8">
        <f t="shared" si="19"/>
        <v>4.3157894736842103E-2</v>
      </c>
    </row>
    <row r="228" spans="1:12" x14ac:dyDescent="0.35">
      <c r="A228" s="2" t="s">
        <v>38</v>
      </c>
      <c r="B228" s="2" t="s">
        <v>8</v>
      </c>
      <c r="C228" s="2" t="s">
        <v>10</v>
      </c>
      <c r="D228" s="2">
        <v>900</v>
      </c>
      <c r="E228" s="2">
        <v>809</v>
      </c>
      <c r="F228" s="2">
        <v>12</v>
      </c>
      <c r="G228" s="2">
        <v>49</v>
      </c>
      <c r="H228" s="2">
        <f t="shared" si="17"/>
        <v>0.98516687268232384</v>
      </c>
      <c r="I228" s="2">
        <f t="shared" si="18"/>
        <v>0.8979166666666667</v>
      </c>
      <c r="J228" s="2">
        <f t="shared" si="20"/>
        <v>0.89888888888888885</v>
      </c>
      <c r="K228" s="2">
        <f t="shared" si="21"/>
        <v>79.515509259259261</v>
      </c>
      <c r="L228" s="8">
        <f t="shared" si="19"/>
        <v>1.4833127317676144E-2</v>
      </c>
    </row>
    <row r="229" spans="1:12" x14ac:dyDescent="0.35">
      <c r="A229" s="2" t="s">
        <v>38</v>
      </c>
      <c r="B229" s="2" t="s">
        <v>8</v>
      </c>
      <c r="C229" s="2" t="s">
        <v>11</v>
      </c>
      <c r="D229" s="2">
        <v>900</v>
      </c>
      <c r="E229" s="2">
        <v>814</v>
      </c>
      <c r="F229" s="2">
        <v>7</v>
      </c>
      <c r="G229" s="2">
        <v>26</v>
      </c>
      <c r="H229" s="2">
        <f t="shared" si="17"/>
        <v>0.99140049140049136</v>
      </c>
      <c r="I229" s="2">
        <f t="shared" si="18"/>
        <v>0.9458333333333333</v>
      </c>
      <c r="J229" s="2">
        <f t="shared" si="20"/>
        <v>0.9044444444444445</v>
      </c>
      <c r="K229" s="2">
        <f t="shared" si="21"/>
        <v>84.809722222222234</v>
      </c>
      <c r="L229" s="8">
        <f t="shared" si="19"/>
        <v>8.5995085995085995E-3</v>
      </c>
    </row>
    <row r="230" spans="1:12" x14ac:dyDescent="0.35">
      <c r="A230" s="2" t="s">
        <v>38</v>
      </c>
      <c r="B230" s="2" t="s">
        <v>12</v>
      </c>
      <c r="C230" s="2" t="s">
        <v>9</v>
      </c>
      <c r="D230" s="2">
        <v>1050</v>
      </c>
      <c r="E230" s="2">
        <v>1046</v>
      </c>
      <c r="F230" s="2">
        <v>35</v>
      </c>
      <c r="G230" s="2">
        <v>53</v>
      </c>
      <c r="H230" s="2">
        <f t="shared" si="17"/>
        <v>0.96653919694072654</v>
      </c>
      <c r="I230" s="2">
        <f t="shared" si="18"/>
        <v>0.88958333333333328</v>
      </c>
      <c r="J230" s="2">
        <f t="shared" si="20"/>
        <v>0.99619047619047618</v>
      </c>
      <c r="K230" s="2">
        <f t="shared" si="21"/>
        <v>85.654166666666669</v>
      </c>
      <c r="L230" s="8">
        <f t="shared" si="19"/>
        <v>3.3460803059273424E-2</v>
      </c>
    </row>
    <row r="231" spans="1:12" x14ac:dyDescent="0.35">
      <c r="A231" s="2" t="s">
        <v>38</v>
      </c>
      <c r="B231" s="2" t="s">
        <v>12</v>
      </c>
      <c r="C231" s="2" t="s">
        <v>10</v>
      </c>
      <c r="D231" s="2">
        <v>1000</v>
      </c>
      <c r="E231" s="2">
        <v>938</v>
      </c>
      <c r="F231" s="2">
        <v>13</v>
      </c>
      <c r="G231" s="2">
        <v>56</v>
      </c>
      <c r="H231" s="2">
        <f t="shared" si="17"/>
        <v>0.98614072494669514</v>
      </c>
      <c r="I231" s="2">
        <f t="shared" si="18"/>
        <v>0.8833333333333333</v>
      </c>
      <c r="J231" s="2">
        <f t="shared" si="20"/>
        <v>0.93799999999999994</v>
      </c>
      <c r="K231" s="2">
        <f t="shared" si="21"/>
        <v>81.708333333333329</v>
      </c>
      <c r="L231" s="8">
        <f t="shared" si="19"/>
        <v>1.3859275053304905E-2</v>
      </c>
    </row>
    <row r="232" spans="1:12" x14ac:dyDescent="0.35">
      <c r="A232" s="2" t="s">
        <v>38</v>
      </c>
      <c r="B232" s="2" t="s">
        <v>12</v>
      </c>
      <c r="C232" s="2" t="s">
        <v>11</v>
      </c>
      <c r="D232" s="2">
        <v>1000</v>
      </c>
      <c r="E232" s="2">
        <v>903</v>
      </c>
      <c r="F232" s="2">
        <v>11</v>
      </c>
      <c r="G232" s="2">
        <v>6</v>
      </c>
      <c r="H232" s="2">
        <f t="shared" si="17"/>
        <v>0.98781838316722037</v>
      </c>
      <c r="I232" s="2">
        <f t="shared" si="18"/>
        <v>0.98750000000000004</v>
      </c>
      <c r="J232" s="2">
        <f t="shared" si="20"/>
        <v>0.90300000000000002</v>
      </c>
      <c r="K232" s="2">
        <f t="shared" si="21"/>
        <v>88.085000000000008</v>
      </c>
      <c r="L232" s="8">
        <f t="shared" si="19"/>
        <v>1.2181616832779624E-2</v>
      </c>
    </row>
    <row r="233" spans="1:12" x14ac:dyDescent="0.35">
      <c r="A233" s="2" t="s">
        <v>38</v>
      </c>
      <c r="B233" s="2" t="s">
        <v>13</v>
      </c>
      <c r="C233" s="2" t="s">
        <v>9</v>
      </c>
      <c r="D233" s="2">
        <v>950</v>
      </c>
      <c r="E233" s="2">
        <v>864</v>
      </c>
      <c r="F233" s="2">
        <v>11</v>
      </c>
      <c r="G233" s="2">
        <v>15</v>
      </c>
      <c r="H233" s="2">
        <f t="shared" si="17"/>
        <v>0.98726851851851849</v>
      </c>
      <c r="I233" s="2">
        <f t="shared" si="18"/>
        <v>0.96875</v>
      </c>
      <c r="J233" s="2">
        <f t="shared" si="20"/>
        <v>0.90947368421052632</v>
      </c>
      <c r="K233" s="2">
        <f t="shared" si="21"/>
        <v>86.983552631578945</v>
      </c>
      <c r="L233" s="8">
        <f t="shared" si="19"/>
        <v>1.2731481481481481E-2</v>
      </c>
    </row>
    <row r="234" spans="1:12" x14ac:dyDescent="0.35">
      <c r="A234" s="2" t="s">
        <v>38</v>
      </c>
      <c r="B234" s="2" t="s">
        <v>13</v>
      </c>
      <c r="C234" s="2" t="s">
        <v>10</v>
      </c>
      <c r="D234" s="2">
        <v>1100</v>
      </c>
      <c r="E234" s="2">
        <v>1049</v>
      </c>
      <c r="F234" s="2">
        <v>50</v>
      </c>
      <c r="G234" s="2">
        <v>11</v>
      </c>
      <c r="H234" s="2">
        <f t="shared" si="17"/>
        <v>0.95233555767397526</v>
      </c>
      <c r="I234" s="2">
        <f t="shared" si="18"/>
        <v>0.9770833333333333</v>
      </c>
      <c r="J234" s="2">
        <f t="shared" si="20"/>
        <v>0.95363636363636362</v>
      </c>
      <c r="K234" s="2">
        <f t="shared" si="21"/>
        <v>88.736931818181816</v>
      </c>
      <c r="L234" s="8">
        <f t="shared" si="19"/>
        <v>4.7664442326024785E-2</v>
      </c>
    </row>
    <row r="235" spans="1:12" x14ac:dyDescent="0.35">
      <c r="A235" s="2" t="s">
        <v>38</v>
      </c>
      <c r="B235" s="2" t="s">
        <v>13</v>
      </c>
      <c r="C235" s="2" t="s">
        <v>11</v>
      </c>
      <c r="D235" s="2">
        <v>1000</v>
      </c>
      <c r="E235" s="2">
        <v>894</v>
      </c>
      <c r="F235" s="2">
        <v>40</v>
      </c>
      <c r="G235" s="2">
        <v>1</v>
      </c>
      <c r="H235" s="2">
        <f t="shared" si="17"/>
        <v>0.95525727069351229</v>
      </c>
      <c r="I235" s="2">
        <f t="shared" si="18"/>
        <v>0.99791666666666667</v>
      </c>
      <c r="J235" s="2">
        <f t="shared" si="20"/>
        <v>0.89400000000000002</v>
      </c>
      <c r="K235" s="2">
        <f t="shared" si="21"/>
        <v>85.222083333333345</v>
      </c>
      <c r="L235" s="8">
        <f t="shared" si="19"/>
        <v>4.4742729306487698E-2</v>
      </c>
    </row>
    <row r="236" spans="1:12" x14ac:dyDescent="0.35">
      <c r="A236" s="2" t="s">
        <v>39</v>
      </c>
      <c r="B236" s="2" t="s">
        <v>8</v>
      </c>
      <c r="C236" s="2" t="s">
        <v>9</v>
      </c>
      <c r="D236" s="2">
        <v>1100</v>
      </c>
      <c r="E236" s="2">
        <v>1035</v>
      </c>
      <c r="F236" s="2">
        <v>30</v>
      </c>
      <c r="G236" s="2">
        <v>30</v>
      </c>
      <c r="H236" s="2">
        <f t="shared" si="17"/>
        <v>0.97101449275362317</v>
      </c>
      <c r="I236" s="2">
        <f t="shared" si="18"/>
        <v>0.9375</v>
      </c>
      <c r="J236" s="2">
        <f t="shared" si="20"/>
        <v>0.94090909090909092</v>
      </c>
      <c r="K236" s="2">
        <f t="shared" si="21"/>
        <v>85.653409090909093</v>
      </c>
      <c r="L236" s="8">
        <f t="shared" si="19"/>
        <v>2.8985507246376812E-2</v>
      </c>
    </row>
    <row r="237" spans="1:12" x14ac:dyDescent="0.35">
      <c r="A237" s="2" t="s">
        <v>39</v>
      </c>
      <c r="B237" s="2" t="s">
        <v>8</v>
      </c>
      <c r="C237" s="2" t="s">
        <v>10</v>
      </c>
      <c r="D237" s="2">
        <v>950</v>
      </c>
      <c r="E237" s="2">
        <v>925</v>
      </c>
      <c r="F237" s="2">
        <v>37</v>
      </c>
      <c r="G237" s="2">
        <v>30</v>
      </c>
      <c r="H237" s="2">
        <f t="shared" si="17"/>
        <v>0.96</v>
      </c>
      <c r="I237" s="2">
        <f t="shared" si="18"/>
        <v>0.9375</v>
      </c>
      <c r="J237" s="2">
        <f t="shared" si="20"/>
        <v>0.97368421052631582</v>
      </c>
      <c r="K237" s="2">
        <f t="shared" si="21"/>
        <v>87.631578947368411</v>
      </c>
      <c r="L237" s="8">
        <f t="shared" si="19"/>
        <v>0.04</v>
      </c>
    </row>
    <row r="238" spans="1:12" x14ac:dyDescent="0.35">
      <c r="A238" s="2" t="s">
        <v>39</v>
      </c>
      <c r="B238" s="2" t="s">
        <v>8</v>
      </c>
      <c r="C238" s="2" t="s">
        <v>11</v>
      </c>
      <c r="D238" s="2">
        <v>1100</v>
      </c>
      <c r="E238" s="2">
        <v>980</v>
      </c>
      <c r="F238" s="2">
        <v>9</v>
      </c>
      <c r="G238" s="2">
        <v>7</v>
      </c>
      <c r="H238" s="2">
        <f t="shared" si="17"/>
        <v>0.99081632653061225</v>
      </c>
      <c r="I238" s="2">
        <f t="shared" si="18"/>
        <v>0.98541666666666672</v>
      </c>
      <c r="J238" s="2">
        <f t="shared" si="20"/>
        <v>0.89090909090909087</v>
      </c>
      <c r="K238" s="2">
        <f t="shared" si="21"/>
        <v>86.985416666666666</v>
      </c>
      <c r="L238" s="8">
        <f t="shared" si="19"/>
        <v>9.1836734693877559E-3</v>
      </c>
    </row>
    <row r="239" spans="1:12" x14ac:dyDescent="0.35">
      <c r="A239" s="2" t="s">
        <v>39</v>
      </c>
      <c r="B239" s="2" t="s">
        <v>12</v>
      </c>
      <c r="C239" s="2" t="s">
        <v>9</v>
      </c>
      <c r="D239" s="2">
        <v>1000</v>
      </c>
      <c r="E239" s="2">
        <v>932</v>
      </c>
      <c r="F239" s="2">
        <v>33</v>
      </c>
      <c r="G239" s="2">
        <v>29</v>
      </c>
      <c r="H239" s="2">
        <f t="shared" si="17"/>
        <v>0.96459227467811159</v>
      </c>
      <c r="I239" s="2">
        <f t="shared" si="18"/>
        <v>0.93958333333333333</v>
      </c>
      <c r="J239" s="2">
        <f t="shared" si="20"/>
        <v>0.93200000000000005</v>
      </c>
      <c r="K239" s="2">
        <f t="shared" si="21"/>
        <v>84.468541666666667</v>
      </c>
      <c r="L239" s="8">
        <f t="shared" si="19"/>
        <v>3.5407725321888413E-2</v>
      </c>
    </row>
    <row r="240" spans="1:12" x14ac:dyDescent="0.35">
      <c r="A240" s="2" t="s">
        <v>39</v>
      </c>
      <c r="B240" s="2" t="s">
        <v>12</v>
      </c>
      <c r="C240" s="2" t="s">
        <v>10</v>
      </c>
      <c r="D240" s="2">
        <v>1100</v>
      </c>
      <c r="E240" s="2">
        <v>983</v>
      </c>
      <c r="F240" s="2">
        <v>38</v>
      </c>
      <c r="G240" s="2">
        <v>55</v>
      </c>
      <c r="H240" s="2">
        <f t="shared" si="17"/>
        <v>0.9613428280773143</v>
      </c>
      <c r="I240" s="2">
        <f t="shared" si="18"/>
        <v>0.88541666666666663</v>
      </c>
      <c r="J240" s="2">
        <f t="shared" si="20"/>
        <v>0.89363636363636367</v>
      </c>
      <c r="K240" s="2">
        <f t="shared" si="21"/>
        <v>76.065340909090907</v>
      </c>
      <c r="L240" s="8">
        <f t="shared" si="19"/>
        <v>3.8657171922685654E-2</v>
      </c>
    </row>
    <row r="241" spans="1:12" x14ac:dyDescent="0.35">
      <c r="A241" s="2" t="s">
        <v>39</v>
      </c>
      <c r="B241" s="2" t="s">
        <v>12</v>
      </c>
      <c r="C241" s="2" t="s">
        <v>11</v>
      </c>
      <c r="D241" s="2">
        <v>1100</v>
      </c>
      <c r="E241" s="2">
        <v>1032</v>
      </c>
      <c r="F241" s="2">
        <v>48</v>
      </c>
      <c r="G241" s="2">
        <v>0</v>
      </c>
      <c r="H241" s="2">
        <f t="shared" si="17"/>
        <v>0.95348837209302328</v>
      </c>
      <c r="I241" s="2">
        <f t="shared" si="18"/>
        <v>1</v>
      </c>
      <c r="J241" s="2">
        <f t="shared" si="20"/>
        <v>0.93818181818181823</v>
      </c>
      <c r="K241" s="2">
        <f t="shared" si="21"/>
        <v>89.454545454545467</v>
      </c>
      <c r="L241" s="8">
        <f t="shared" si="19"/>
        <v>4.6511627906976744E-2</v>
      </c>
    </row>
    <row r="242" spans="1:12" x14ac:dyDescent="0.35">
      <c r="A242" s="2" t="s">
        <v>39</v>
      </c>
      <c r="B242" s="2" t="s">
        <v>13</v>
      </c>
      <c r="C242" s="2" t="s">
        <v>9</v>
      </c>
      <c r="D242" s="2">
        <v>900</v>
      </c>
      <c r="E242" s="2">
        <v>882</v>
      </c>
      <c r="F242" s="2">
        <v>9</v>
      </c>
      <c r="G242" s="2">
        <v>10</v>
      </c>
      <c r="H242" s="2">
        <f t="shared" si="17"/>
        <v>0.98979591836734693</v>
      </c>
      <c r="I242" s="2">
        <f t="shared" si="18"/>
        <v>0.97916666666666663</v>
      </c>
      <c r="J242" s="2">
        <f t="shared" si="20"/>
        <v>0.98</v>
      </c>
      <c r="K242" s="2">
        <f t="shared" si="21"/>
        <v>94.979166666666657</v>
      </c>
      <c r="L242" s="8">
        <f t="shared" si="19"/>
        <v>1.020408163265306E-2</v>
      </c>
    </row>
    <row r="243" spans="1:12" x14ac:dyDescent="0.35">
      <c r="A243" s="2" t="s">
        <v>39</v>
      </c>
      <c r="B243" s="2" t="s">
        <v>13</v>
      </c>
      <c r="C243" s="2" t="s">
        <v>10</v>
      </c>
      <c r="D243" s="2">
        <v>900</v>
      </c>
      <c r="E243" s="2">
        <v>862</v>
      </c>
      <c r="F243" s="2">
        <v>20</v>
      </c>
      <c r="G243" s="2">
        <v>60</v>
      </c>
      <c r="H243" s="2">
        <f t="shared" si="17"/>
        <v>0.97679814385150809</v>
      </c>
      <c r="I243" s="2">
        <f t="shared" si="18"/>
        <v>0.875</v>
      </c>
      <c r="J243" s="2">
        <f t="shared" si="20"/>
        <v>0.95777777777777773</v>
      </c>
      <c r="K243" s="2">
        <f t="shared" si="21"/>
        <v>81.8611111111111</v>
      </c>
      <c r="L243" s="8">
        <f t="shared" si="19"/>
        <v>2.3201856148491878E-2</v>
      </c>
    </row>
    <row r="244" spans="1:12" x14ac:dyDescent="0.35">
      <c r="A244" s="2" t="s">
        <v>39</v>
      </c>
      <c r="B244" s="2" t="s">
        <v>13</v>
      </c>
      <c r="C244" s="2" t="s">
        <v>11</v>
      </c>
      <c r="D244" s="2">
        <v>950</v>
      </c>
      <c r="E244" s="2">
        <v>845</v>
      </c>
      <c r="F244" s="2">
        <v>20</v>
      </c>
      <c r="G244" s="2">
        <v>55</v>
      </c>
      <c r="H244" s="2">
        <f t="shared" si="17"/>
        <v>0.97633136094674555</v>
      </c>
      <c r="I244" s="2">
        <f t="shared" si="18"/>
        <v>0.88541666666666663</v>
      </c>
      <c r="J244" s="2">
        <f t="shared" si="20"/>
        <v>0.88947368421052631</v>
      </c>
      <c r="K244" s="2">
        <f t="shared" si="21"/>
        <v>76.891447368421055</v>
      </c>
      <c r="L244" s="8">
        <f t="shared" si="19"/>
        <v>2.3668639053254437E-2</v>
      </c>
    </row>
    <row r="245" spans="1:12" x14ac:dyDescent="0.35">
      <c r="A245" s="2" t="s">
        <v>40</v>
      </c>
      <c r="B245" s="2" t="s">
        <v>8</v>
      </c>
      <c r="C245" s="2" t="s">
        <v>9</v>
      </c>
      <c r="D245" s="2">
        <v>900</v>
      </c>
      <c r="E245" s="2">
        <v>853</v>
      </c>
      <c r="F245" s="2">
        <v>22</v>
      </c>
      <c r="G245" s="2">
        <v>9</v>
      </c>
      <c r="H245" s="2">
        <f t="shared" si="17"/>
        <v>0.97420867526377486</v>
      </c>
      <c r="I245" s="2">
        <f t="shared" si="18"/>
        <v>0.98124999999999996</v>
      </c>
      <c r="J245" s="2">
        <f t="shared" si="20"/>
        <v>0.94777777777777783</v>
      </c>
      <c r="K245" s="2">
        <f t="shared" si="21"/>
        <v>90.60208333333334</v>
      </c>
      <c r="L245" s="8">
        <f t="shared" si="19"/>
        <v>2.5791324736225089E-2</v>
      </c>
    </row>
    <row r="246" spans="1:12" x14ac:dyDescent="0.35">
      <c r="A246" s="2" t="s">
        <v>40</v>
      </c>
      <c r="B246" s="2" t="s">
        <v>8</v>
      </c>
      <c r="C246" s="2" t="s">
        <v>10</v>
      </c>
      <c r="D246" s="2">
        <v>950</v>
      </c>
      <c r="E246" s="2">
        <v>916</v>
      </c>
      <c r="F246" s="2">
        <v>34</v>
      </c>
      <c r="G246" s="2">
        <v>56</v>
      </c>
      <c r="H246" s="2">
        <f t="shared" si="17"/>
        <v>0.96288209606986896</v>
      </c>
      <c r="I246" s="2">
        <f t="shared" si="18"/>
        <v>0.8833333333333333</v>
      </c>
      <c r="J246" s="2">
        <f t="shared" si="20"/>
        <v>0.96421052631578952</v>
      </c>
      <c r="K246" s="2">
        <f t="shared" si="21"/>
        <v>82.010526315789477</v>
      </c>
      <c r="L246" s="8">
        <f t="shared" si="19"/>
        <v>3.7117903930131008E-2</v>
      </c>
    </row>
    <row r="247" spans="1:12" x14ac:dyDescent="0.35">
      <c r="A247" s="2" t="s">
        <v>40</v>
      </c>
      <c r="B247" s="2" t="s">
        <v>8</v>
      </c>
      <c r="C247" s="2" t="s">
        <v>11</v>
      </c>
      <c r="D247" s="2">
        <v>1050</v>
      </c>
      <c r="E247" s="2">
        <v>963</v>
      </c>
      <c r="F247" s="2">
        <v>13</v>
      </c>
      <c r="G247" s="2">
        <v>14</v>
      </c>
      <c r="H247" s="2">
        <f t="shared" si="17"/>
        <v>0.98650051921079962</v>
      </c>
      <c r="I247" s="2">
        <f t="shared" si="18"/>
        <v>0.97083333333333333</v>
      </c>
      <c r="J247" s="2">
        <f t="shared" si="20"/>
        <v>0.91714285714285715</v>
      </c>
      <c r="K247" s="2">
        <f t="shared" si="21"/>
        <v>87.837301587301582</v>
      </c>
      <c r="L247" s="8">
        <f t="shared" si="19"/>
        <v>1.3499480789200415E-2</v>
      </c>
    </row>
    <row r="248" spans="1:12" x14ac:dyDescent="0.35">
      <c r="A248" s="2" t="s">
        <v>40</v>
      </c>
      <c r="B248" s="2" t="s">
        <v>12</v>
      </c>
      <c r="C248" s="2" t="s">
        <v>9</v>
      </c>
      <c r="D248" s="2">
        <v>900</v>
      </c>
      <c r="E248" s="2">
        <v>864</v>
      </c>
      <c r="F248" s="2">
        <v>13</v>
      </c>
      <c r="G248" s="2">
        <v>11</v>
      </c>
      <c r="H248" s="2">
        <f t="shared" si="17"/>
        <v>0.98495370370370372</v>
      </c>
      <c r="I248" s="2">
        <f t="shared" si="18"/>
        <v>0.9770833333333333</v>
      </c>
      <c r="J248" s="2">
        <f t="shared" si="20"/>
        <v>0.96</v>
      </c>
      <c r="K248" s="2">
        <f t="shared" si="21"/>
        <v>92.388657407407408</v>
      </c>
      <c r="L248" s="8">
        <f t="shared" si="19"/>
        <v>1.5046296296296295E-2</v>
      </c>
    </row>
    <row r="249" spans="1:12" x14ac:dyDescent="0.35">
      <c r="A249" s="2" t="s">
        <v>40</v>
      </c>
      <c r="B249" s="2" t="s">
        <v>12</v>
      </c>
      <c r="C249" s="2" t="s">
        <v>10</v>
      </c>
      <c r="D249" s="2">
        <v>950</v>
      </c>
      <c r="E249" s="2">
        <v>932</v>
      </c>
      <c r="F249" s="2">
        <v>5</v>
      </c>
      <c r="G249" s="2">
        <v>49</v>
      </c>
      <c r="H249" s="2">
        <f t="shared" si="17"/>
        <v>0.99463519313304716</v>
      </c>
      <c r="I249" s="2">
        <f t="shared" si="18"/>
        <v>0.8979166666666667</v>
      </c>
      <c r="J249" s="2">
        <f t="shared" si="20"/>
        <v>0.9810526315789474</v>
      </c>
      <c r="K249" s="2">
        <f t="shared" si="21"/>
        <v>87.617763157894743</v>
      </c>
      <c r="L249" s="8">
        <f t="shared" si="19"/>
        <v>5.3648068669527897E-3</v>
      </c>
    </row>
    <row r="250" spans="1:12" x14ac:dyDescent="0.35">
      <c r="A250" s="2" t="s">
        <v>40</v>
      </c>
      <c r="B250" s="2" t="s">
        <v>12</v>
      </c>
      <c r="C250" s="2" t="s">
        <v>11</v>
      </c>
      <c r="D250" s="2">
        <v>900</v>
      </c>
      <c r="E250" s="2">
        <v>827</v>
      </c>
      <c r="F250" s="2">
        <v>13</v>
      </c>
      <c r="G250" s="2">
        <v>36</v>
      </c>
      <c r="H250" s="2">
        <f t="shared" si="17"/>
        <v>0.98428053204353083</v>
      </c>
      <c r="I250" s="2">
        <f t="shared" si="18"/>
        <v>0.92500000000000004</v>
      </c>
      <c r="J250" s="2">
        <f t="shared" si="20"/>
        <v>0.91888888888888887</v>
      </c>
      <c r="K250" s="2">
        <f t="shared" si="21"/>
        <v>83.661111111111126</v>
      </c>
      <c r="L250" s="8">
        <f t="shared" si="19"/>
        <v>1.5719467956469165E-2</v>
      </c>
    </row>
    <row r="251" spans="1:12" x14ac:dyDescent="0.35">
      <c r="A251" s="2" t="s">
        <v>40</v>
      </c>
      <c r="B251" s="2" t="s">
        <v>13</v>
      </c>
      <c r="C251" s="2" t="s">
        <v>9</v>
      </c>
      <c r="D251" s="2">
        <v>1000</v>
      </c>
      <c r="E251" s="2">
        <v>998</v>
      </c>
      <c r="F251" s="2">
        <v>19</v>
      </c>
      <c r="G251" s="2">
        <v>46</v>
      </c>
      <c r="H251" s="2">
        <f t="shared" si="17"/>
        <v>0.98096192384769543</v>
      </c>
      <c r="I251" s="2">
        <f t="shared" si="18"/>
        <v>0.90416666666666667</v>
      </c>
      <c r="J251" s="2">
        <f t="shared" si="20"/>
        <v>0.998</v>
      </c>
      <c r="K251" s="2">
        <f t="shared" si="21"/>
        <v>88.517916666666679</v>
      </c>
      <c r="L251" s="8">
        <f t="shared" si="19"/>
        <v>1.9038076152304611E-2</v>
      </c>
    </row>
    <row r="252" spans="1:12" x14ac:dyDescent="0.35">
      <c r="A252" s="2" t="s">
        <v>40</v>
      </c>
      <c r="B252" s="2" t="s">
        <v>13</v>
      </c>
      <c r="C252" s="2" t="s">
        <v>10</v>
      </c>
      <c r="D252" s="2">
        <v>1000</v>
      </c>
      <c r="E252" s="2">
        <v>903</v>
      </c>
      <c r="F252" s="2">
        <v>10</v>
      </c>
      <c r="G252" s="2">
        <v>55</v>
      </c>
      <c r="H252" s="2">
        <f t="shared" si="17"/>
        <v>0.98892580287929122</v>
      </c>
      <c r="I252" s="2">
        <f t="shared" si="18"/>
        <v>0.88541666666666663</v>
      </c>
      <c r="J252" s="2">
        <f t="shared" si="20"/>
        <v>0.90300000000000002</v>
      </c>
      <c r="K252" s="2">
        <f t="shared" si="21"/>
        <v>79.067708333333329</v>
      </c>
      <c r="L252" s="8">
        <f t="shared" si="19"/>
        <v>1.1074197120708749E-2</v>
      </c>
    </row>
    <row r="253" spans="1:12" x14ac:dyDescent="0.35">
      <c r="A253" s="2" t="s">
        <v>40</v>
      </c>
      <c r="B253" s="2" t="s">
        <v>13</v>
      </c>
      <c r="C253" s="2" t="s">
        <v>11</v>
      </c>
      <c r="D253" s="2">
        <v>900</v>
      </c>
      <c r="E253" s="2">
        <v>891</v>
      </c>
      <c r="F253" s="2">
        <v>28</v>
      </c>
      <c r="G253" s="2">
        <v>42</v>
      </c>
      <c r="H253" s="2">
        <f t="shared" si="17"/>
        <v>0.96857463524130194</v>
      </c>
      <c r="I253" s="2">
        <f t="shared" si="18"/>
        <v>0.91249999999999998</v>
      </c>
      <c r="J253" s="2">
        <f t="shared" si="20"/>
        <v>0.99</v>
      </c>
      <c r="K253" s="2">
        <f t="shared" si="21"/>
        <v>87.498611111111117</v>
      </c>
      <c r="L253" s="8">
        <f t="shared" si="19"/>
        <v>3.1425364758698095E-2</v>
      </c>
    </row>
    <row r="254" spans="1:12" x14ac:dyDescent="0.35">
      <c r="A254" s="2" t="s">
        <v>41</v>
      </c>
      <c r="B254" s="2" t="s">
        <v>8</v>
      </c>
      <c r="C254" s="2" t="s">
        <v>9</v>
      </c>
      <c r="D254" s="2">
        <v>1050</v>
      </c>
      <c r="E254" s="2">
        <v>949</v>
      </c>
      <c r="F254" s="2">
        <v>32</v>
      </c>
      <c r="G254" s="2">
        <v>23</v>
      </c>
      <c r="H254" s="2">
        <f t="shared" si="17"/>
        <v>0.9662802950474183</v>
      </c>
      <c r="I254" s="2">
        <f t="shared" si="18"/>
        <v>0.95208333333333328</v>
      </c>
      <c r="J254" s="2">
        <f t="shared" si="20"/>
        <v>0.90380952380952384</v>
      </c>
      <c r="K254" s="2">
        <f t="shared" si="21"/>
        <v>83.148611111111109</v>
      </c>
      <c r="L254" s="8">
        <f t="shared" si="19"/>
        <v>3.3719704952581663E-2</v>
      </c>
    </row>
    <row r="255" spans="1:12" x14ac:dyDescent="0.35">
      <c r="A255" s="2" t="s">
        <v>41</v>
      </c>
      <c r="B255" s="2" t="s">
        <v>8</v>
      </c>
      <c r="C255" s="2" t="s">
        <v>10</v>
      </c>
      <c r="D255" s="2">
        <v>900</v>
      </c>
      <c r="E255" s="2">
        <v>854</v>
      </c>
      <c r="F255" s="2">
        <v>40</v>
      </c>
      <c r="G255" s="2">
        <v>45</v>
      </c>
      <c r="H255" s="2">
        <f t="shared" si="17"/>
        <v>0.95316159250585475</v>
      </c>
      <c r="I255" s="2">
        <f t="shared" si="18"/>
        <v>0.90625</v>
      </c>
      <c r="J255" s="2">
        <f t="shared" si="20"/>
        <v>0.94888888888888889</v>
      </c>
      <c r="K255" s="2">
        <f t="shared" si="21"/>
        <v>81.965277777777771</v>
      </c>
      <c r="L255" s="8">
        <f t="shared" si="19"/>
        <v>4.6838407494145202E-2</v>
      </c>
    </row>
    <row r="256" spans="1:12" x14ac:dyDescent="0.35">
      <c r="A256" s="2" t="s">
        <v>41</v>
      </c>
      <c r="B256" s="2" t="s">
        <v>8</v>
      </c>
      <c r="C256" s="2" t="s">
        <v>11</v>
      </c>
      <c r="D256" s="2">
        <v>900</v>
      </c>
      <c r="E256" s="2">
        <v>867</v>
      </c>
      <c r="F256" s="2">
        <v>31</v>
      </c>
      <c r="G256" s="2">
        <v>49</v>
      </c>
      <c r="H256" s="2">
        <f t="shared" si="17"/>
        <v>0.96424452133794691</v>
      </c>
      <c r="I256" s="2">
        <f t="shared" si="18"/>
        <v>0.8979166666666667</v>
      </c>
      <c r="J256" s="2">
        <f t="shared" si="20"/>
        <v>0.96333333333333337</v>
      </c>
      <c r="K256" s="2">
        <f t="shared" si="21"/>
        <v>83.406481481481492</v>
      </c>
      <c r="L256" s="8">
        <f t="shared" si="19"/>
        <v>3.5755478662053058E-2</v>
      </c>
    </row>
    <row r="257" spans="1:12" x14ac:dyDescent="0.35">
      <c r="A257" s="2" t="s">
        <v>41</v>
      </c>
      <c r="B257" s="2" t="s">
        <v>12</v>
      </c>
      <c r="C257" s="2" t="s">
        <v>9</v>
      </c>
      <c r="D257" s="2">
        <v>1000</v>
      </c>
      <c r="E257" s="2">
        <v>905</v>
      </c>
      <c r="F257" s="2">
        <v>29</v>
      </c>
      <c r="G257" s="2">
        <v>40</v>
      </c>
      <c r="H257" s="2">
        <f t="shared" si="17"/>
        <v>0.96795580110497237</v>
      </c>
      <c r="I257" s="2">
        <f t="shared" si="18"/>
        <v>0.91666666666666663</v>
      </c>
      <c r="J257" s="2">
        <f t="shared" si="20"/>
        <v>0.90500000000000003</v>
      </c>
      <c r="K257" s="2">
        <f t="shared" si="21"/>
        <v>80.3</v>
      </c>
      <c r="L257" s="8">
        <f t="shared" si="19"/>
        <v>3.2044198895027624E-2</v>
      </c>
    </row>
    <row r="258" spans="1:12" x14ac:dyDescent="0.35">
      <c r="A258" s="2" t="s">
        <v>41</v>
      </c>
      <c r="B258" s="2" t="s">
        <v>12</v>
      </c>
      <c r="C258" s="2" t="s">
        <v>10</v>
      </c>
      <c r="D258" s="2">
        <v>900</v>
      </c>
      <c r="E258" s="2">
        <v>845</v>
      </c>
      <c r="F258" s="2">
        <v>25</v>
      </c>
      <c r="G258" s="2">
        <v>57</v>
      </c>
      <c r="H258" s="2">
        <f t="shared" si="17"/>
        <v>0.97041420118343191</v>
      </c>
      <c r="I258" s="2">
        <f t="shared" si="18"/>
        <v>0.88124999999999998</v>
      </c>
      <c r="J258" s="2">
        <f t="shared" si="20"/>
        <v>0.93888888888888888</v>
      </c>
      <c r="K258" s="2">
        <f t="shared" si="21"/>
        <v>80.291666666666657</v>
      </c>
      <c r="L258" s="8">
        <f t="shared" si="19"/>
        <v>2.9585798816568046E-2</v>
      </c>
    </row>
    <row r="259" spans="1:12" x14ac:dyDescent="0.35">
      <c r="A259" s="2" t="s">
        <v>41</v>
      </c>
      <c r="B259" s="2" t="s">
        <v>12</v>
      </c>
      <c r="C259" s="2" t="s">
        <v>11</v>
      </c>
      <c r="D259" s="2">
        <v>950</v>
      </c>
      <c r="E259" s="2">
        <v>918</v>
      </c>
      <c r="F259" s="2">
        <v>28</v>
      </c>
      <c r="G259" s="2">
        <v>1</v>
      </c>
      <c r="H259" s="2">
        <f t="shared" ref="H259:H271" si="22">(E259-F259)/E259</f>
        <v>0.9694989106753813</v>
      </c>
      <c r="I259" s="2">
        <f t="shared" ref="I259:I271" si="23">(480-G259)/480</f>
        <v>0.99791666666666667</v>
      </c>
      <c r="J259" s="2">
        <f t="shared" si="20"/>
        <v>0.96631578947368424</v>
      </c>
      <c r="K259" s="2">
        <f t="shared" si="21"/>
        <v>93.489035087719301</v>
      </c>
      <c r="L259" s="8">
        <f t="shared" ref="L259:L271" si="24">(F259/E259)</f>
        <v>3.0501089324618737E-2</v>
      </c>
    </row>
    <row r="260" spans="1:12" x14ac:dyDescent="0.35">
      <c r="A260" s="2" t="s">
        <v>41</v>
      </c>
      <c r="B260" s="2" t="s">
        <v>13</v>
      </c>
      <c r="C260" s="2" t="s">
        <v>9</v>
      </c>
      <c r="D260" s="2">
        <v>1000</v>
      </c>
      <c r="E260" s="2">
        <v>941</v>
      </c>
      <c r="F260" s="2">
        <v>24</v>
      </c>
      <c r="G260" s="2">
        <v>35</v>
      </c>
      <c r="H260" s="2">
        <f t="shared" si="22"/>
        <v>0.97449521785334747</v>
      </c>
      <c r="I260" s="2">
        <f t="shared" si="23"/>
        <v>0.92708333333333337</v>
      </c>
      <c r="J260" s="2">
        <f t="shared" si="20"/>
        <v>0.94099999999999995</v>
      </c>
      <c r="K260" s="2">
        <f t="shared" si="21"/>
        <v>85.013541666666654</v>
      </c>
      <c r="L260" s="8">
        <f t="shared" si="24"/>
        <v>2.5504782146652496E-2</v>
      </c>
    </row>
    <row r="261" spans="1:12" x14ac:dyDescent="0.35">
      <c r="A261" s="2" t="s">
        <v>41</v>
      </c>
      <c r="B261" s="2" t="s">
        <v>13</v>
      </c>
      <c r="C261" s="2" t="s">
        <v>10</v>
      </c>
      <c r="D261" s="2">
        <v>1050</v>
      </c>
      <c r="E261" s="2">
        <v>967</v>
      </c>
      <c r="F261" s="2">
        <v>46</v>
      </c>
      <c r="G261" s="2">
        <v>0</v>
      </c>
      <c r="H261" s="2">
        <f t="shared" si="22"/>
        <v>0.95243019648397109</v>
      </c>
      <c r="I261" s="2">
        <f t="shared" si="23"/>
        <v>1</v>
      </c>
      <c r="J261" s="2">
        <f t="shared" si="20"/>
        <v>0.92095238095238097</v>
      </c>
      <c r="K261" s="2">
        <f t="shared" si="21"/>
        <v>87.714285714285722</v>
      </c>
      <c r="L261" s="8">
        <f t="shared" si="24"/>
        <v>4.7569803516028956E-2</v>
      </c>
    </row>
    <row r="262" spans="1:12" x14ac:dyDescent="0.35">
      <c r="A262" s="2" t="s">
        <v>41</v>
      </c>
      <c r="B262" s="2" t="s">
        <v>13</v>
      </c>
      <c r="C262" s="2" t="s">
        <v>11</v>
      </c>
      <c r="D262" s="2">
        <v>1000</v>
      </c>
      <c r="E262" s="2">
        <v>988</v>
      </c>
      <c r="F262" s="2">
        <v>14</v>
      </c>
      <c r="G262" s="2">
        <v>31</v>
      </c>
      <c r="H262" s="2">
        <f t="shared" si="22"/>
        <v>0.98582995951417007</v>
      </c>
      <c r="I262" s="2">
        <f t="shared" si="23"/>
        <v>0.93541666666666667</v>
      </c>
      <c r="J262" s="2">
        <f t="shared" si="20"/>
        <v>0.98799999999999999</v>
      </c>
      <c r="K262" s="2">
        <f t="shared" si="21"/>
        <v>91.109583333333333</v>
      </c>
      <c r="L262" s="8">
        <f t="shared" si="24"/>
        <v>1.417004048582996E-2</v>
      </c>
    </row>
    <row r="263" spans="1:12" x14ac:dyDescent="0.35">
      <c r="A263" s="2" t="s">
        <v>42</v>
      </c>
      <c r="B263" s="2" t="s">
        <v>8</v>
      </c>
      <c r="C263" s="2" t="s">
        <v>9</v>
      </c>
      <c r="D263" s="2">
        <v>900</v>
      </c>
      <c r="E263" s="2">
        <v>893</v>
      </c>
      <c r="F263" s="2">
        <v>24</v>
      </c>
      <c r="G263" s="2">
        <v>10</v>
      </c>
      <c r="H263" s="2">
        <f t="shared" si="22"/>
        <v>0.97312430011198203</v>
      </c>
      <c r="I263" s="2">
        <f t="shared" si="23"/>
        <v>0.97916666666666663</v>
      </c>
      <c r="J263" s="2">
        <f t="shared" si="20"/>
        <v>0.99222222222222223</v>
      </c>
      <c r="K263" s="2">
        <f t="shared" si="21"/>
        <v>94.543981481481467</v>
      </c>
      <c r="L263" s="8">
        <f t="shared" si="24"/>
        <v>2.6875699888017916E-2</v>
      </c>
    </row>
    <row r="264" spans="1:12" x14ac:dyDescent="0.35">
      <c r="A264" s="2" t="s">
        <v>42</v>
      </c>
      <c r="B264" s="2" t="s">
        <v>8</v>
      </c>
      <c r="C264" s="2" t="s">
        <v>10</v>
      </c>
      <c r="D264" s="2">
        <v>1050</v>
      </c>
      <c r="E264" s="2">
        <v>996</v>
      </c>
      <c r="F264" s="2">
        <v>39</v>
      </c>
      <c r="G264" s="2">
        <v>19</v>
      </c>
      <c r="H264" s="2">
        <f t="shared" si="22"/>
        <v>0.96084337349397586</v>
      </c>
      <c r="I264" s="2">
        <f t="shared" si="23"/>
        <v>0.9604166666666667</v>
      </c>
      <c r="J264" s="2">
        <f t="shared" si="20"/>
        <v>0.94857142857142862</v>
      </c>
      <c r="K264" s="2">
        <f t="shared" si="21"/>
        <v>87.535119047619048</v>
      </c>
      <c r="L264" s="8">
        <f t="shared" si="24"/>
        <v>3.9156626506024098E-2</v>
      </c>
    </row>
    <row r="265" spans="1:12" x14ac:dyDescent="0.35">
      <c r="A265" s="2" t="s">
        <v>42</v>
      </c>
      <c r="B265" s="2" t="s">
        <v>8</v>
      </c>
      <c r="C265" s="2" t="s">
        <v>11</v>
      </c>
      <c r="D265" s="2">
        <v>950</v>
      </c>
      <c r="E265" s="2">
        <v>853</v>
      </c>
      <c r="F265" s="2">
        <v>33</v>
      </c>
      <c r="G265" s="2">
        <v>24</v>
      </c>
      <c r="H265" s="2">
        <f t="shared" si="22"/>
        <v>0.9613130128956624</v>
      </c>
      <c r="I265" s="2">
        <f t="shared" si="23"/>
        <v>0.95</v>
      </c>
      <c r="J265" s="2">
        <f t="shared" si="20"/>
        <v>0.8978947368421053</v>
      </c>
      <c r="K265" s="2">
        <f t="shared" si="21"/>
        <v>82</v>
      </c>
      <c r="L265" s="8">
        <f t="shared" si="24"/>
        <v>3.8686987104337635E-2</v>
      </c>
    </row>
    <row r="266" spans="1:12" x14ac:dyDescent="0.35">
      <c r="A266" s="2" t="s">
        <v>42</v>
      </c>
      <c r="B266" s="2" t="s">
        <v>12</v>
      </c>
      <c r="C266" s="2" t="s">
        <v>9</v>
      </c>
      <c r="D266" s="2">
        <v>900</v>
      </c>
      <c r="E266" s="2">
        <v>792</v>
      </c>
      <c r="F266" s="2">
        <v>37</v>
      </c>
      <c r="G266" s="2">
        <v>10</v>
      </c>
      <c r="H266" s="2">
        <f t="shared" si="22"/>
        <v>0.95328282828282829</v>
      </c>
      <c r="I266" s="2">
        <f t="shared" si="23"/>
        <v>0.97916666666666663</v>
      </c>
      <c r="J266" s="2">
        <f t="shared" si="20"/>
        <v>0.88</v>
      </c>
      <c r="K266" s="2">
        <f t="shared" si="21"/>
        <v>82.141203703703695</v>
      </c>
      <c r="L266" s="8">
        <f t="shared" si="24"/>
        <v>4.671717171717172E-2</v>
      </c>
    </row>
    <row r="267" spans="1:12" x14ac:dyDescent="0.35">
      <c r="A267" s="2" t="s">
        <v>42</v>
      </c>
      <c r="B267" s="2" t="s">
        <v>12</v>
      </c>
      <c r="C267" s="2" t="s">
        <v>10</v>
      </c>
      <c r="D267" s="2">
        <v>900</v>
      </c>
      <c r="E267" s="2">
        <v>801</v>
      </c>
      <c r="F267" s="2">
        <v>6</v>
      </c>
      <c r="G267" s="2">
        <v>2</v>
      </c>
      <c r="H267" s="2">
        <f t="shared" si="22"/>
        <v>0.99250936329588013</v>
      </c>
      <c r="I267" s="2">
        <f t="shared" si="23"/>
        <v>0.99583333333333335</v>
      </c>
      <c r="J267" s="2">
        <f t="shared" si="20"/>
        <v>0.89</v>
      </c>
      <c r="K267" s="2">
        <f t="shared" si="21"/>
        <v>87.965277777777771</v>
      </c>
      <c r="L267" s="8">
        <f t="shared" si="24"/>
        <v>7.4906367041198503E-3</v>
      </c>
    </row>
    <row r="268" spans="1:12" x14ac:dyDescent="0.35">
      <c r="A268" s="2" t="s">
        <v>42</v>
      </c>
      <c r="B268" s="2" t="s">
        <v>12</v>
      </c>
      <c r="C268" s="2" t="s">
        <v>11</v>
      </c>
      <c r="D268" s="2">
        <v>1000</v>
      </c>
      <c r="E268" s="2">
        <v>926</v>
      </c>
      <c r="F268" s="2">
        <v>14</v>
      </c>
      <c r="G268" s="2">
        <v>49</v>
      </c>
      <c r="H268" s="2">
        <f t="shared" si="22"/>
        <v>0.98488120950323976</v>
      </c>
      <c r="I268" s="2">
        <f t="shared" si="23"/>
        <v>0.8979166666666667</v>
      </c>
      <c r="J268" s="2">
        <f t="shared" si="20"/>
        <v>0.92600000000000005</v>
      </c>
      <c r="K268" s="2">
        <f t="shared" si="21"/>
        <v>81.89</v>
      </c>
      <c r="L268" s="8">
        <f t="shared" si="24"/>
        <v>1.511879049676026E-2</v>
      </c>
    </row>
    <row r="269" spans="1:12" x14ac:dyDescent="0.35">
      <c r="A269" s="2" t="s">
        <v>42</v>
      </c>
      <c r="B269" s="2" t="s">
        <v>13</v>
      </c>
      <c r="C269" s="2" t="s">
        <v>9</v>
      </c>
      <c r="D269" s="2">
        <v>1000</v>
      </c>
      <c r="E269" s="2">
        <v>915</v>
      </c>
      <c r="F269" s="2">
        <v>21</v>
      </c>
      <c r="G269" s="2">
        <v>23</v>
      </c>
      <c r="H269" s="2">
        <f t="shared" si="22"/>
        <v>0.9770491803278688</v>
      </c>
      <c r="I269" s="2">
        <f t="shared" si="23"/>
        <v>0.95208333333333328</v>
      </c>
      <c r="J269" s="2">
        <f t="shared" si="20"/>
        <v>0.91500000000000004</v>
      </c>
      <c r="K269" s="2">
        <f t="shared" si="21"/>
        <v>85.116249999999994</v>
      </c>
      <c r="L269" s="8">
        <f t="shared" si="24"/>
        <v>2.2950819672131147E-2</v>
      </c>
    </row>
    <row r="270" spans="1:12" x14ac:dyDescent="0.35">
      <c r="A270" s="2" t="s">
        <v>42</v>
      </c>
      <c r="B270" s="2" t="s">
        <v>13</v>
      </c>
      <c r="C270" s="2" t="s">
        <v>10</v>
      </c>
      <c r="D270" s="2">
        <v>900</v>
      </c>
      <c r="E270" s="2">
        <v>792</v>
      </c>
      <c r="F270" s="2">
        <v>25</v>
      </c>
      <c r="G270" s="2">
        <v>29</v>
      </c>
      <c r="H270" s="2">
        <f t="shared" si="22"/>
        <v>0.96843434343434343</v>
      </c>
      <c r="I270" s="2">
        <f t="shared" si="23"/>
        <v>0.93958333333333333</v>
      </c>
      <c r="J270" s="2">
        <f t="shared" si="20"/>
        <v>0.88</v>
      </c>
      <c r="K270" s="2">
        <f t="shared" si="21"/>
        <v>80.073379629629642</v>
      </c>
      <c r="L270" s="8">
        <f t="shared" si="24"/>
        <v>3.1565656565656568E-2</v>
      </c>
    </row>
    <row r="271" spans="1:12" x14ac:dyDescent="0.35">
      <c r="A271" s="2" t="s">
        <v>42</v>
      </c>
      <c r="B271" s="2" t="s">
        <v>13</v>
      </c>
      <c r="C271" s="2" t="s">
        <v>11</v>
      </c>
      <c r="D271" s="2">
        <v>900</v>
      </c>
      <c r="E271" s="2">
        <v>857</v>
      </c>
      <c r="F271" s="2">
        <v>23</v>
      </c>
      <c r="G271" s="2">
        <v>30</v>
      </c>
      <c r="H271" s="2">
        <f t="shared" si="22"/>
        <v>0.97316219369894985</v>
      </c>
      <c r="I271" s="2">
        <f t="shared" si="23"/>
        <v>0.9375</v>
      </c>
      <c r="J271" s="2">
        <f t="shared" si="20"/>
        <v>0.95222222222222219</v>
      </c>
      <c r="K271" s="2">
        <f t="shared" si="21"/>
        <v>86.874999999999986</v>
      </c>
      <c r="L271" s="8">
        <f t="shared" si="24"/>
        <v>2.6837806301050177E-2</v>
      </c>
    </row>
  </sheetData>
  <customSheetViews>
    <customSheetView guid="{EE78B246-E2B2-4D67-A5BD-B7297C731AB7}">
      <selection activeCell="K1" sqref="K1"/>
      <pageMargins left="0.75" right="0.75" top="1" bottom="1" header="0.5" footer="0.5"/>
      <pageSetup orientation="portrait" r:id="rId1"/>
    </customSheetView>
  </customSheetViews>
  <pageMargins left="0.75" right="0.75" top="1" bottom="1" header="0.5" footer="0.5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7CA85-CC36-4E7A-9E76-26C4AE400E2A}">
  <dimension ref="A1:C8"/>
  <sheetViews>
    <sheetView workbookViewId="0">
      <selection activeCell="C4" sqref="C4"/>
    </sheetView>
  </sheetViews>
  <sheetFormatPr defaultRowHeight="17.25" x14ac:dyDescent="0.35"/>
  <cols>
    <col min="1" max="1" width="11.25" customWidth="1"/>
    <col min="2" max="2" width="14.5" customWidth="1"/>
    <col min="3" max="3" width="22.5" customWidth="1"/>
    <col min="4" max="4" width="23.625" customWidth="1"/>
  </cols>
  <sheetData>
    <row r="1" spans="1:3" x14ac:dyDescent="0.35">
      <c r="A1" s="14" t="s">
        <v>55</v>
      </c>
      <c r="B1" s="14"/>
      <c r="C1" s="14"/>
    </row>
    <row r="3" spans="1:3" x14ac:dyDescent="0.35">
      <c r="A3" s="10"/>
      <c r="B3" s="10" t="s">
        <v>54</v>
      </c>
    </row>
    <row r="4" spans="1:3" x14ac:dyDescent="0.35">
      <c r="A4" s="10" t="s">
        <v>8</v>
      </c>
      <c r="B4" s="12">
        <v>85.40435212856778</v>
      </c>
    </row>
    <row r="5" spans="1:3" x14ac:dyDescent="0.35">
      <c r="A5" s="10" t="s">
        <v>12</v>
      </c>
      <c r="B5" s="12">
        <v>84.917660837348706</v>
      </c>
    </row>
    <row r="6" spans="1:3" x14ac:dyDescent="0.35">
      <c r="A6" s="10" t="s">
        <v>13</v>
      </c>
      <c r="B6" s="12">
        <v>85.803744573977013</v>
      </c>
    </row>
    <row r="7" spans="1:3" x14ac:dyDescent="0.35">
      <c r="A7" s="10" t="s">
        <v>48</v>
      </c>
      <c r="B7" s="12">
        <v>85.375252513297781</v>
      </c>
    </row>
    <row r="8" spans="1:3" x14ac:dyDescent="0.35">
      <c r="B8" s="13"/>
    </row>
  </sheetData>
  <customSheetViews>
    <customSheetView guid="{EE78B246-E2B2-4D67-A5BD-B7297C731AB7}">
      <selection activeCell="C4" sqref="C4"/>
      <pageMargins left="0.7" right="0.7" top="0.75" bottom="0.75" header="0.3" footer="0.3"/>
    </customSheetView>
  </customSheetViews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0D46C-84E9-4CBD-A14B-7E8E9F05D9E9}">
  <dimension ref="A1:B7"/>
  <sheetViews>
    <sheetView workbookViewId="0">
      <selection activeCell="M11" sqref="M11"/>
    </sheetView>
  </sheetViews>
  <sheetFormatPr defaultRowHeight="17.25" x14ac:dyDescent="0.35"/>
  <cols>
    <col min="1" max="1" width="13" customWidth="1"/>
    <col min="2" max="2" width="20.375" customWidth="1"/>
    <col min="3" max="3" width="16.75" customWidth="1"/>
  </cols>
  <sheetData>
    <row r="1" spans="1:2" x14ac:dyDescent="0.35">
      <c r="A1" s="15" t="s">
        <v>58</v>
      </c>
      <c r="B1" s="15"/>
    </row>
    <row r="3" spans="1:2" x14ac:dyDescent="0.35">
      <c r="A3" s="5" t="s">
        <v>47</v>
      </c>
      <c r="B3" s="1" t="s">
        <v>51</v>
      </c>
    </row>
    <row r="4" spans="1:2" x14ac:dyDescent="0.35">
      <c r="A4" s="1" t="s">
        <v>9</v>
      </c>
      <c r="B4" s="11">
        <v>2.8446379747090585E-2</v>
      </c>
    </row>
    <row r="5" spans="1:2" x14ac:dyDescent="0.35">
      <c r="A5" s="1" t="s">
        <v>10</v>
      </c>
      <c r="B5" s="11">
        <v>2.8491905211134476E-2</v>
      </c>
    </row>
    <row r="6" spans="1:2" x14ac:dyDescent="0.35">
      <c r="A6" s="1" t="s">
        <v>11</v>
      </c>
      <c r="B6" s="11">
        <v>2.6315974835559846E-2</v>
      </c>
    </row>
    <row r="7" spans="1:2" x14ac:dyDescent="0.35">
      <c r="A7" s="1" t="s">
        <v>48</v>
      </c>
      <c r="B7" s="11">
        <v>2.7751419931261654E-2</v>
      </c>
    </row>
  </sheetData>
  <customSheetViews>
    <customSheetView guid="{EE78B246-E2B2-4D67-A5BD-B7297C731AB7}">
      <selection activeCell="M11" sqref="M11"/>
      <pageMargins left="0.7" right="0.7" top="0.75" bottom="0.75" header="0.3" footer="0.3"/>
    </customSheetView>
  </customSheetViews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6E4C7-ADD2-4E21-BAE9-0CC92305D363}">
  <dimension ref="A1:B34"/>
  <sheetViews>
    <sheetView workbookViewId="0">
      <selection activeCell="A2" sqref="A2"/>
    </sheetView>
  </sheetViews>
  <sheetFormatPr defaultRowHeight="17.25" x14ac:dyDescent="0.35"/>
  <cols>
    <col min="1" max="1" width="13" customWidth="1"/>
    <col min="2" max="3" width="23.625" customWidth="1"/>
    <col min="4" max="4" width="20.75" bestFit="1" customWidth="1"/>
  </cols>
  <sheetData>
    <row r="1" spans="1:2" x14ac:dyDescent="0.35">
      <c r="A1" s="15" t="s">
        <v>60</v>
      </c>
      <c r="B1" s="15"/>
    </row>
    <row r="3" spans="1:2" x14ac:dyDescent="0.35">
      <c r="A3" s="5" t="s">
        <v>47</v>
      </c>
      <c r="B3" s="1" t="s">
        <v>52</v>
      </c>
    </row>
    <row r="4" spans="1:2" x14ac:dyDescent="0.35">
      <c r="A4" s="1" t="s">
        <v>7</v>
      </c>
      <c r="B4" s="6">
        <v>8306</v>
      </c>
    </row>
    <row r="5" spans="1:2" x14ac:dyDescent="0.35">
      <c r="A5" s="1" t="s">
        <v>14</v>
      </c>
      <c r="B5" s="6">
        <v>8417</v>
      </c>
    </row>
    <row r="6" spans="1:2" x14ac:dyDescent="0.35">
      <c r="A6" s="1" t="s">
        <v>15</v>
      </c>
      <c r="B6" s="6">
        <v>8630</v>
      </c>
    </row>
    <row r="7" spans="1:2" x14ac:dyDescent="0.35">
      <c r="A7" s="1" t="s">
        <v>16</v>
      </c>
      <c r="B7" s="6">
        <v>8532</v>
      </c>
    </row>
    <row r="8" spans="1:2" x14ac:dyDescent="0.35">
      <c r="A8" s="1" t="s">
        <v>17</v>
      </c>
      <c r="B8" s="6">
        <v>8424</v>
      </c>
    </row>
    <row r="9" spans="1:2" x14ac:dyDescent="0.35">
      <c r="A9" s="1" t="s">
        <v>18</v>
      </c>
      <c r="B9" s="6">
        <v>8216</v>
      </c>
    </row>
    <row r="10" spans="1:2" x14ac:dyDescent="0.35">
      <c r="A10" s="1" t="s">
        <v>19</v>
      </c>
      <c r="B10" s="6">
        <v>8646</v>
      </c>
    </row>
    <row r="11" spans="1:2" x14ac:dyDescent="0.35">
      <c r="A11" s="1" t="s">
        <v>20</v>
      </c>
      <c r="B11" s="6">
        <v>8503</v>
      </c>
    </row>
    <row r="12" spans="1:2" x14ac:dyDescent="0.35">
      <c r="A12" s="1" t="s">
        <v>21</v>
      </c>
      <c r="B12" s="6">
        <v>8871</v>
      </c>
    </row>
    <row r="13" spans="1:2" x14ac:dyDescent="0.35">
      <c r="A13" s="1" t="s">
        <v>22</v>
      </c>
      <c r="B13" s="6">
        <v>8057</v>
      </c>
    </row>
    <row r="14" spans="1:2" x14ac:dyDescent="0.35">
      <c r="A14" s="1" t="s">
        <v>23</v>
      </c>
      <c r="B14" s="6">
        <v>8373</v>
      </c>
    </row>
    <row r="15" spans="1:2" x14ac:dyDescent="0.35">
      <c r="A15" s="1" t="s">
        <v>24</v>
      </c>
      <c r="B15" s="6">
        <v>8567</v>
      </c>
    </row>
    <row r="16" spans="1:2" x14ac:dyDescent="0.35">
      <c r="A16" s="1" t="s">
        <v>25</v>
      </c>
      <c r="B16" s="6">
        <v>8719</v>
      </c>
    </row>
    <row r="17" spans="1:2" x14ac:dyDescent="0.35">
      <c r="A17" s="1" t="s">
        <v>26</v>
      </c>
      <c r="B17" s="6">
        <v>8761</v>
      </c>
    </row>
    <row r="18" spans="1:2" x14ac:dyDescent="0.35">
      <c r="A18" s="1" t="s">
        <v>27</v>
      </c>
      <c r="B18" s="6">
        <v>8201</v>
      </c>
    </row>
    <row r="19" spans="1:2" x14ac:dyDescent="0.35">
      <c r="A19" s="1" t="s">
        <v>28</v>
      </c>
      <c r="B19" s="6">
        <v>8122</v>
      </c>
    </row>
    <row r="20" spans="1:2" x14ac:dyDescent="0.35">
      <c r="A20" s="1" t="s">
        <v>29</v>
      </c>
      <c r="B20" s="6">
        <v>8531</v>
      </c>
    </row>
    <row r="21" spans="1:2" x14ac:dyDescent="0.35">
      <c r="A21" s="1" t="s">
        <v>30</v>
      </c>
      <c r="B21" s="6">
        <v>8214</v>
      </c>
    </row>
    <row r="22" spans="1:2" x14ac:dyDescent="0.35">
      <c r="A22" s="1" t="s">
        <v>31</v>
      </c>
      <c r="B22" s="6">
        <v>8111</v>
      </c>
    </row>
    <row r="23" spans="1:2" x14ac:dyDescent="0.35">
      <c r="A23" s="1" t="s">
        <v>32</v>
      </c>
      <c r="B23" s="6">
        <v>8695</v>
      </c>
    </row>
    <row r="24" spans="1:2" x14ac:dyDescent="0.35">
      <c r="A24" s="1" t="s">
        <v>33</v>
      </c>
      <c r="B24" s="6">
        <v>8054</v>
      </c>
    </row>
    <row r="25" spans="1:2" x14ac:dyDescent="0.35">
      <c r="A25" s="1" t="s">
        <v>34</v>
      </c>
      <c r="B25" s="6">
        <v>8563</v>
      </c>
    </row>
    <row r="26" spans="1:2" x14ac:dyDescent="0.35">
      <c r="A26" s="1" t="s">
        <v>35</v>
      </c>
      <c r="B26" s="6">
        <v>8632</v>
      </c>
    </row>
    <row r="27" spans="1:2" x14ac:dyDescent="0.35">
      <c r="A27" s="1" t="s">
        <v>36</v>
      </c>
      <c r="B27" s="6">
        <v>8716</v>
      </c>
    </row>
    <row r="28" spans="1:2" x14ac:dyDescent="0.35">
      <c r="A28" s="1" t="s">
        <v>37</v>
      </c>
      <c r="B28" s="6">
        <v>8542</v>
      </c>
    </row>
    <row r="29" spans="1:2" x14ac:dyDescent="0.35">
      <c r="A29" s="1" t="s">
        <v>38</v>
      </c>
      <c r="B29" s="6">
        <v>8267</v>
      </c>
    </row>
    <row r="30" spans="1:2" x14ac:dyDescent="0.35">
      <c r="A30" s="1" t="s">
        <v>39</v>
      </c>
      <c r="B30" s="6">
        <v>8476</v>
      </c>
    </row>
    <row r="31" spans="1:2" x14ac:dyDescent="0.35">
      <c r="A31" s="1" t="s">
        <v>40</v>
      </c>
      <c r="B31" s="6">
        <v>8147</v>
      </c>
    </row>
    <row r="32" spans="1:2" x14ac:dyDescent="0.35">
      <c r="A32" s="1" t="s">
        <v>41</v>
      </c>
      <c r="B32" s="6">
        <v>8234</v>
      </c>
    </row>
    <row r="33" spans="1:2" x14ac:dyDescent="0.35">
      <c r="A33" s="1" t="s">
        <v>42</v>
      </c>
      <c r="B33" s="6">
        <v>7825</v>
      </c>
    </row>
    <row r="34" spans="1:2" x14ac:dyDescent="0.35">
      <c r="A34" s="1" t="s">
        <v>48</v>
      </c>
      <c r="B34" s="6">
        <v>252352</v>
      </c>
    </row>
  </sheetData>
  <customSheetViews>
    <customSheetView guid="{EE78B246-E2B2-4D67-A5BD-B7297C731AB7}">
      <selection activeCell="A2" sqref="A2"/>
      <pageMargins left="0.7" right="0.7" top="0.75" bottom="0.75" header="0.3" footer="0.3"/>
    </customSheetView>
  </customSheetViews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30971-96B5-4D3D-8D47-F59B21245D9A}">
  <dimension ref="A1:B7"/>
  <sheetViews>
    <sheetView workbookViewId="0">
      <selection activeCell="D6" sqref="D6"/>
    </sheetView>
  </sheetViews>
  <sheetFormatPr defaultRowHeight="17.25" x14ac:dyDescent="0.35"/>
  <cols>
    <col min="1" max="1" width="15.375" customWidth="1"/>
    <col min="2" max="2" width="22.5" customWidth="1"/>
    <col min="3" max="3" width="23.625" customWidth="1"/>
    <col min="4" max="4" width="20.75" bestFit="1" customWidth="1"/>
  </cols>
  <sheetData>
    <row r="1" spans="1:2" x14ac:dyDescent="0.35">
      <c r="A1" s="15" t="s">
        <v>61</v>
      </c>
      <c r="B1" s="15"/>
    </row>
    <row r="3" spans="1:2" x14ac:dyDescent="0.35">
      <c r="A3" s="5" t="s">
        <v>47</v>
      </c>
      <c r="B3" s="10" t="s">
        <v>49</v>
      </c>
    </row>
    <row r="4" spans="1:2" x14ac:dyDescent="0.35">
      <c r="A4" s="10" t="s">
        <v>8</v>
      </c>
      <c r="B4" s="6">
        <v>2686</v>
      </c>
    </row>
    <row r="5" spans="1:2" x14ac:dyDescent="0.35">
      <c r="A5" s="10" t="s">
        <v>12</v>
      </c>
      <c r="B5" s="6">
        <v>2844</v>
      </c>
    </row>
    <row r="6" spans="1:2" x14ac:dyDescent="0.35">
      <c r="A6" s="10" t="s">
        <v>13</v>
      </c>
      <c r="B6" s="6">
        <v>2573</v>
      </c>
    </row>
    <row r="7" spans="1:2" x14ac:dyDescent="0.35">
      <c r="A7" s="10" t="s">
        <v>48</v>
      </c>
      <c r="B7" s="6">
        <v>8103</v>
      </c>
    </row>
  </sheetData>
  <customSheetViews>
    <customSheetView guid="{EE78B246-E2B2-4D67-A5BD-B7297C731AB7}">
      <selection activeCell="D6" sqref="D6"/>
      <pageMargins left="0.7" right="0.7" top="0.75" bottom="0.75" header="0.3" footer="0.3"/>
    </customSheetView>
  </customSheetViews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7D497-4E7A-41A0-8F3D-90BF4B555A0D}">
  <sheetPr>
    <pageSetUpPr fitToPage="1"/>
  </sheetPr>
  <dimension ref="A1:R40"/>
  <sheetViews>
    <sheetView showGridLines="0" tabSelected="1" zoomScale="25" zoomScaleNormal="25" workbookViewId="0">
      <selection activeCell="AS31" sqref="AS31"/>
    </sheetView>
  </sheetViews>
  <sheetFormatPr defaultRowHeight="17.25" x14ac:dyDescent="0.35"/>
  <sheetData>
    <row r="1" spans="1:18" x14ac:dyDescent="0.35">
      <c r="A1" s="16" t="s">
        <v>53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x14ac:dyDescent="0.3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x14ac:dyDescent="0.3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x14ac:dyDescent="0.35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spans="1:18" x14ac:dyDescent="0.35">
      <c r="A5" s="18" t="s">
        <v>57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x14ac:dyDescent="0.35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</row>
    <row r="7" spans="1:18" x14ac:dyDescent="0.35">
      <c r="A7" s="20" t="s">
        <v>56</v>
      </c>
      <c r="B7" s="20"/>
      <c r="C7" s="20"/>
      <c r="D7" s="20"/>
      <c r="E7" s="20"/>
      <c r="F7" s="20"/>
      <c r="G7" s="20"/>
      <c r="H7" s="20"/>
      <c r="I7" s="20"/>
      <c r="J7" s="22" t="s">
        <v>59</v>
      </c>
      <c r="K7" s="23"/>
      <c r="L7" s="23"/>
      <c r="M7" s="23"/>
      <c r="N7" s="23"/>
      <c r="O7" s="23"/>
      <c r="P7" s="23"/>
      <c r="Q7" s="23"/>
      <c r="R7" s="24"/>
    </row>
    <row r="8" spans="1:18" x14ac:dyDescent="0.35">
      <c r="A8" s="21"/>
      <c r="B8" s="21"/>
      <c r="C8" s="21"/>
      <c r="D8" s="21"/>
      <c r="E8" s="21"/>
      <c r="F8" s="21"/>
      <c r="G8" s="21"/>
      <c r="H8" s="21"/>
      <c r="I8" s="21"/>
      <c r="J8" s="25"/>
      <c r="K8" s="26"/>
      <c r="L8" s="26"/>
      <c r="M8" s="26"/>
      <c r="N8" s="26"/>
      <c r="O8" s="26"/>
      <c r="P8" s="26"/>
      <c r="Q8" s="26"/>
      <c r="R8" s="27"/>
    </row>
    <row r="9" spans="1:18" x14ac:dyDescent="0.35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</row>
    <row r="10" spans="1:18" x14ac:dyDescent="0.35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</row>
    <row r="11" spans="1:18" x14ac:dyDescent="0.35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</row>
    <row r="12" spans="1:18" x14ac:dyDescent="0.35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</row>
    <row r="13" spans="1:18" x14ac:dyDescent="0.35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</row>
    <row r="14" spans="1:18" x14ac:dyDescent="0.35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</row>
    <row r="15" spans="1:18" x14ac:dyDescent="0.3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</row>
    <row r="16" spans="1:18" x14ac:dyDescent="0.35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</row>
    <row r="17" spans="1:18" x14ac:dyDescent="0.35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</row>
    <row r="18" spans="1:18" x14ac:dyDescent="0.35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</row>
    <row r="19" spans="1:18" x14ac:dyDescent="0.35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</row>
    <row r="20" spans="1:18" x14ac:dyDescent="0.35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</row>
    <row r="21" spans="1:18" x14ac:dyDescent="0.35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</row>
    <row r="22" spans="1:18" x14ac:dyDescent="0.35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</row>
    <row r="23" spans="1:18" x14ac:dyDescent="0.35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</row>
    <row r="24" spans="1:18" x14ac:dyDescent="0.35">
      <c r="A24" s="21" t="s">
        <v>60</v>
      </c>
      <c r="B24" s="28"/>
      <c r="C24" s="28"/>
      <c r="D24" s="28"/>
      <c r="E24" s="28"/>
      <c r="F24" s="28"/>
      <c r="G24" s="28"/>
      <c r="H24" s="28"/>
      <c r="I24" s="28"/>
      <c r="J24" s="21" t="s">
        <v>61</v>
      </c>
      <c r="K24" s="21"/>
      <c r="L24" s="21"/>
      <c r="M24" s="21"/>
      <c r="N24" s="21"/>
      <c r="O24" s="21"/>
      <c r="P24" s="21"/>
      <c r="Q24" s="21"/>
      <c r="R24" s="21"/>
    </row>
    <row r="25" spans="1:18" x14ac:dyDescent="0.35">
      <c r="A25" s="28"/>
      <c r="B25" s="28"/>
      <c r="C25" s="28"/>
      <c r="D25" s="28"/>
      <c r="E25" s="28"/>
      <c r="F25" s="28"/>
      <c r="G25" s="28"/>
      <c r="H25" s="28"/>
      <c r="I25" s="28"/>
      <c r="J25" s="21"/>
      <c r="K25" s="21"/>
      <c r="L25" s="21"/>
      <c r="M25" s="21"/>
      <c r="N25" s="21"/>
      <c r="O25" s="21"/>
      <c r="P25" s="21"/>
      <c r="Q25" s="21"/>
      <c r="R25" s="21"/>
    </row>
    <row r="26" spans="1:18" x14ac:dyDescent="0.35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</row>
    <row r="27" spans="1:18" x14ac:dyDescent="0.35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</row>
    <row r="28" spans="1:18" x14ac:dyDescent="0.35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</row>
    <row r="29" spans="1:18" x14ac:dyDescent="0.35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</row>
    <row r="30" spans="1:18" x14ac:dyDescent="0.35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</row>
    <row r="31" spans="1:18" x14ac:dyDescent="0.35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</row>
    <row r="32" spans="1:18" x14ac:dyDescent="0.35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</row>
    <row r="33" spans="1:18" x14ac:dyDescent="0.35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</row>
    <row r="34" spans="1:18" x14ac:dyDescent="0.35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</row>
    <row r="35" spans="1:18" x14ac:dyDescent="0.3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</row>
    <row r="36" spans="1:18" x14ac:dyDescent="0.35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</row>
    <row r="37" spans="1:18" x14ac:dyDescent="0.35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</row>
    <row r="38" spans="1:18" x14ac:dyDescent="0.3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</row>
    <row r="39" spans="1:18" x14ac:dyDescent="0.35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</row>
    <row r="40" spans="1:18" x14ac:dyDescent="0.35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</row>
  </sheetData>
  <customSheetViews>
    <customSheetView guid="{EE78B246-E2B2-4D67-A5BD-B7297C731AB7}" scale="82" showPageBreaks="1" showGridLines="0" showRowCol="0" fitToPage="1" topLeftCell="A23">
      <selection sqref="A1:R39"/>
      <pageMargins left="0.23622047244094491" right="0.23622047244094491" top="0.74803149606299213" bottom="0.74803149606299213" header="0.31496062992125984" footer="0.31496062992125984"/>
      <pageSetup paperSize="7" scale="61" orientation="landscape" r:id="rId1"/>
    </customSheetView>
  </customSheetViews>
  <mergeCells count="10">
    <mergeCell ref="J26:R40"/>
    <mergeCell ref="A26:I40"/>
    <mergeCell ref="A1:R4"/>
    <mergeCell ref="A5:R6"/>
    <mergeCell ref="A7:I8"/>
    <mergeCell ref="J7:R8"/>
    <mergeCell ref="A24:I25"/>
    <mergeCell ref="J24:R25"/>
    <mergeCell ref="J9:R23"/>
    <mergeCell ref="A9:I23"/>
  </mergeCells>
  <pageMargins left="0.23622047244094491" right="0.23622047244094491" top="0.74803149606299213" bottom="0.74803149606299213" header="0.31496062992125984" footer="0.31496062992125984"/>
  <pageSetup paperSize="7" scale="62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Production_Data</vt:lpstr>
      <vt:lpstr>Table 1</vt:lpstr>
      <vt:lpstr>Table 2</vt:lpstr>
      <vt:lpstr>Table 3</vt:lpstr>
      <vt:lpstr>Table 4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cp:lastPrinted>2026-06-10T06:08:52Z</cp:lastPrinted>
  <dcterms:created xsi:type="dcterms:W3CDTF">2026-06-08T12:03:11Z</dcterms:created>
  <dcterms:modified xsi:type="dcterms:W3CDTF">2026-06-10T06:09:31Z</dcterms:modified>
</cp:coreProperties>
</file>